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ocha\Desktop\RWIS\"/>
    </mc:Choice>
  </mc:AlternateContent>
  <bookViews>
    <workbookView xWindow="240" yWindow="105" windowWidth="14805" windowHeight="8010" firstSheet="1" activeTab="2"/>
  </bookViews>
  <sheets>
    <sheet name="parametercatalog" sheetId="3" state="hidden" r:id="rId1"/>
    <sheet name="SiteInventory" sheetId="2" r:id="rId2"/>
    <sheet name="BatchUploadBuilder" sheetId="1" r:id="rId3"/>
  </sheets>
  <definedNames>
    <definedName name="_xlnm._FilterDatabase" localSheetId="0" hidden="1">parametercatalog!$A$1:$E$1</definedName>
    <definedName name="_xlnm._FilterDatabase" localSheetId="1" hidden="1">SiteInventory!$A$1:$Q$1</definedName>
  </definedNames>
  <calcPr calcId="152511"/>
</workbook>
</file>

<file path=xl/calcChain.xml><?xml version="1.0" encoding="utf-8"?>
<calcChain xmlns="http://schemas.openxmlformats.org/spreadsheetml/2006/main">
  <c r="L11" i="1" l="1"/>
  <c r="E11" i="1"/>
  <c r="F11" i="1"/>
  <c r="G11" i="1"/>
  <c r="H11" i="1"/>
  <c r="G10" i="1"/>
  <c r="E10" i="1"/>
  <c r="H10" i="1"/>
  <c r="F10" i="1"/>
  <c r="L10" i="1"/>
</calcChain>
</file>

<file path=xl/sharedStrings.xml><?xml version="1.0" encoding="utf-8"?>
<sst xmlns="http://schemas.openxmlformats.org/spreadsheetml/2006/main" count="10549" uniqueCount="3642">
  <si>
    <t>siteid</t>
  </si>
  <si>
    <t>description</t>
  </si>
  <si>
    <t>state</t>
  </si>
  <si>
    <t>latitude</t>
  </si>
  <si>
    <t>longitude</t>
  </si>
  <si>
    <t>elevation</t>
  </si>
  <si>
    <t>timezone</t>
  </si>
  <si>
    <t>install</t>
  </si>
  <si>
    <t>horizontal_datum</t>
  </si>
  <si>
    <t>vertical_datum</t>
  </si>
  <si>
    <t>vertical_accuracy</t>
  </si>
  <si>
    <t>elevation_method</t>
  </si>
  <si>
    <t>tz_offset</t>
  </si>
  <si>
    <t>active_flag</t>
  </si>
  <si>
    <t>type</t>
  </si>
  <si>
    <t>responsibility</t>
  </si>
  <si>
    <t>agency_region</t>
  </si>
  <si>
    <t>adatunco</t>
  </si>
  <si>
    <t>ALVA B ADAMS TUNNEL @ E PORTAL NR ESTES PARK; CO</t>
  </si>
  <si>
    <t>CO</t>
  </si>
  <si>
    <t>diversion</t>
  </si>
  <si>
    <t>GP</t>
  </si>
  <si>
    <t>adawplco</t>
  </si>
  <si>
    <t>ADAMS TUNNEL; WEST PORTAL; COLORADO</t>
  </si>
  <si>
    <t>adne</t>
  </si>
  <si>
    <t>AKERS DRAW DIVERSION INTO TRI-STATE CANAL; NEBRASKA</t>
  </si>
  <si>
    <t>NE</t>
  </si>
  <si>
    <t>agr</t>
  </si>
  <si>
    <t>ANGOSTURA RESERVOIR (CHEYENNE RIVER BLW DAM); SD</t>
  </si>
  <si>
    <t>SD</t>
  </si>
  <si>
    <t>reservoir</t>
  </si>
  <si>
    <t>DKAO</t>
  </si>
  <si>
    <t>aine</t>
  </si>
  <si>
    <t>LAKE ALICE RESERVOIR INFLOW; NEBRASKA</t>
  </si>
  <si>
    <t>canal</t>
  </si>
  <si>
    <t>alcr</t>
  </si>
  <si>
    <t>ALCOVA RESERVOIR; WYOMING</t>
  </si>
  <si>
    <t>WY</t>
  </si>
  <si>
    <t>ECAO</t>
  </si>
  <si>
    <t>alfvalmt</t>
  </si>
  <si>
    <t>ALFALFA VALLEY CANAL DIVERSION; MONTANA</t>
  </si>
  <si>
    <t>MT</t>
  </si>
  <si>
    <t>alks</t>
  </si>
  <si>
    <t>ALMENA DIVERSION; KANSAS</t>
  </si>
  <si>
    <t>KS</t>
  </si>
  <si>
    <t>altus</t>
  </si>
  <si>
    <t>ALTUS DAM; OKLAHOMA</t>
  </si>
  <si>
    <t>OK</t>
  </si>
  <si>
    <t>OTAO</t>
  </si>
  <si>
    <t>anad</t>
  </si>
  <si>
    <t>WASHITA RIVER NEAR ANADARKO; OKLAHOMA</t>
  </si>
  <si>
    <t>stream</t>
  </si>
  <si>
    <t>ancr</t>
  </si>
  <si>
    <t>ANCHOR RESERVOIR; SOUTH FORK OWL CREEK; WYOMING</t>
  </si>
  <si>
    <t>WYAO</t>
  </si>
  <si>
    <t>apsc</t>
  </si>
  <si>
    <t>APISHAPA; COLORADO</t>
  </si>
  <si>
    <t>snotel</t>
  </si>
  <si>
    <t>arac</t>
  </si>
  <si>
    <t>ARAPAHOE RIDGE; COLORADO</t>
  </si>
  <si>
    <t>arbuck</t>
  </si>
  <si>
    <t>ARBUCKLE DAM (LAKE OF THE ARBUCKLES); OKLAHOMA</t>
  </si>
  <si>
    <t>argy</t>
  </si>
  <si>
    <t>ARAGON DITCH; WYOMING</t>
  </si>
  <si>
    <t>arkavoco</t>
  </si>
  <si>
    <t>ARKANSAS RIVER NEAR AVONDALE; COLORADO</t>
  </si>
  <si>
    <t>arkcanco</t>
  </si>
  <si>
    <t>ARKANSAS RIVER AT CANYON CITY; COLORADO</t>
  </si>
  <si>
    <t>arkgraco</t>
  </si>
  <si>
    <t>ARKANSAS RIVER AT GRANADA; COLORADO</t>
  </si>
  <si>
    <t>arkgrnco</t>
  </si>
  <si>
    <t>ARKANSAS RIVER AT GRANITE; COLORADO</t>
  </si>
  <si>
    <t>arknatco</t>
  </si>
  <si>
    <t>ARKANSAS RIVER NEAR NATHROP; COLORADO</t>
  </si>
  <si>
    <t>arknepco</t>
  </si>
  <si>
    <t>ARKANSAS RIVER NEAR NEPESTA; COLORADO</t>
  </si>
  <si>
    <t>arkporco</t>
  </si>
  <si>
    <t>ARKANSAS RIVER AT PORTLAND; COLORADO</t>
  </si>
  <si>
    <t>arkpueco</t>
  </si>
  <si>
    <t>ARKANSAS RIVER ABOVE PUEBLO; COLORADO</t>
  </si>
  <si>
    <t>arksalco</t>
  </si>
  <si>
    <t>ARKANSAS RIVER AT SALIDA; COLORADO</t>
  </si>
  <si>
    <t>arkwelco</t>
  </si>
  <si>
    <t>ARKANSAS RIVER NEAR WELLSVILLE; COLORADO</t>
  </si>
  <si>
    <t>armt</t>
  </si>
  <si>
    <t>ATASCOSA RIVER NEAR MCCOY; TEXAS</t>
  </si>
  <si>
    <t>TX</t>
  </si>
  <si>
    <t>arne</t>
  </si>
  <si>
    <t>LAKE ALICE RESERVOIR ELEVATION; NEBRASKA</t>
  </si>
  <si>
    <t>arwt</t>
  </si>
  <si>
    <t>ATASCOSA RIVER AT WHITSETT; TEXAS</t>
  </si>
  <si>
    <t>asnc</t>
  </si>
  <si>
    <t>INDEPENDENCE PASS; COLORADO</t>
  </si>
  <si>
    <t>babm</t>
  </si>
  <si>
    <t>ST. MARY RIVER NEAR BABB; MONTANA</t>
  </si>
  <si>
    <t>back</t>
  </si>
  <si>
    <t>BATTLE CREEK NEAR CHINOOK; MONTANA</t>
  </si>
  <si>
    <t>badm</t>
  </si>
  <si>
    <t>BADGER PASS; MONTANA</t>
  </si>
  <si>
    <t>balm</t>
  </si>
  <si>
    <t>BEAVERHEAD RIVER AT ANDERSON LANE; MONTANA</t>
  </si>
  <si>
    <t>bane</t>
  </si>
  <si>
    <t>BARTLEY CANAL; NEBRASKA</t>
  </si>
  <si>
    <t>bawne</t>
  </si>
  <si>
    <t>BARTLEY CANAL; WASTEWAY; NEBRASKA</t>
  </si>
  <si>
    <t>bbne</t>
  </si>
  <si>
    <t>BOX BUTTE DAM; NEBRASKA</t>
  </si>
  <si>
    <t>NKAO</t>
  </si>
  <si>
    <t>bbr</t>
  </si>
  <si>
    <t>BUFFALO BILL RESERVOIR ON SHOSHONE RIVER; WYOMING</t>
  </si>
  <si>
    <t>bbrnfd</t>
  </si>
  <si>
    <t>BUFFALO BILL RESERVOIR - NORTH FORK DIKE; WYOMING</t>
  </si>
  <si>
    <t>bbrsfd</t>
  </si>
  <si>
    <t>BUFFALO BILL RESERVOIR - SOUTH FORK DIKE; WYOMING</t>
  </si>
  <si>
    <t>bbtm</t>
  </si>
  <si>
    <t>BOULDER RIVER AT BIG TIMBER; MT</t>
  </si>
  <si>
    <t>bbws</t>
  </si>
  <si>
    <t>BUFFALO BILL WEATHER STATION; WYOMING</t>
  </si>
  <si>
    <t>weather</t>
  </si>
  <si>
    <t>bbwy</t>
  </si>
  <si>
    <t>BIGHORN RIVER AT BASIN; WYOMING</t>
  </si>
  <si>
    <t>bcbcne</t>
  </si>
  <si>
    <t>BEAVER CREEK AT BEAVER CITY; NEBRASKA</t>
  </si>
  <si>
    <t>bcbm</t>
  </si>
  <si>
    <t>BEAVER CREEK @ RESERVATION BOUNDARY; MONTANA</t>
  </si>
  <si>
    <t>bccm</t>
  </si>
  <si>
    <t>BIG COULEE BELOW BEALE CANAL; MT</t>
  </si>
  <si>
    <t>bchm</t>
  </si>
  <si>
    <t>BEAVER CREEK NEAR HINSDALE; MONTANA</t>
  </si>
  <si>
    <t>bcib</t>
  </si>
  <si>
    <t>BATTLE CREEK AT INTERNATIONAL BOUNDARY; MONTANA</t>
  </si>
  <si>
    <t>bclm</t>
  </si>
  <si>
    <t>BIG COULEE LOWER; MT</t>
  </si>
  <si>
    <t>bcwy</t>
  </si>
  <si>
    <t>BLUFF CANAL; WYOMING</t>
  </si>
  <si>
    <t>bdcm</t>
  </si>
  <si>
    <t>BADGER CREEK BLW FOUR HORNS CANAL NR BROWNING; MT</t>
  </si>
  <si>
    <t>bdne</t>
  </si>
  <si>
    <t>BARTLEY DIVERSION; NEBRASKA</t>
  </si>
  <si>
    <t>beam</t>
  </si>
  <si>
    <t>BEAGLE SPRINGS; MONTANA</t>
  </si>
  <si>
    <t>belindmt</t>
  </si>
  <si>
    <t>FORT BELKNAP INDIAN CANAL MAIN DIVERSION; MONTANA</t>
  </si>
  <si>
    <t>berthspc</t>
  </si>
  <si>
    <t>BERTHOUD SUMMIT; COLORADO</t>
  </si>
  <si>
    <t>bevm</t>
  </si>
  <si>
    <t>BEAVER CREEK; MONTANA</t>
  </si>
  <si>
    <t>bevr</t>
  </si>
  <si>
    <t>BEAVER CREEK RESERVOIR NEAR HAVRE; MONTANA</t>
  </si>
  <si>
    <t>bfam</t>
  </si>
  <si>
    <t>BLACKFEET AGRIMET STATION NR SEVILLE COLONY; MONTANA</t>
  </si>
  <si>
    <t>agrimet</t>
  </si>
  <si>
    <t>bfce</t>
  </si>
  <si>
    <t>BELLE FOURCHE INLET CANAL EAST; SOUTH DAKOTA</t>
  </si>
  <si>
    <t>bfr</t>
  </si>
  <si>
    <t>BELLE FOURCHE RESERVOIR NR BELLE FOURCHE; S. DAKOTA</t>
  </si>
  <si>
    <t>bftm</t>
  </si>
  <si>
    <t>BIG FLAT NEAR TURNER WEATHER STATION; MONTANA</t>
  </si>
  <si>
    <t>bfwy</t>
  </si>
  <si>
    <t>BELLE FOURCHE RVR @ WYOMING-SOUTH DAKOTA STATE LINE</t>
  </si>
  <si>
    <t>bgbm</t>
  </si>
  <si>
    <t>BEAVERHEAD RIVER AT GIEM BRIDGE; MONTANA</t>
  </si>
  <si>
    <t>bgsw</t>
  </si>
  <si>
    <t>BIG GOOSE; WYOMING</t>
  </si>
  <si>
    <t>bhdm</t>
  </si>
  <si>
    <t>BIG HOLE RIVER AT MAIDEN ROCK NEAR DIVIDE; MONTANA</t>
  </si>
  <si>
    <t>bhdy</t>
  </si>
  <si>
    <t>BIGHORN RIVER BLW BIGHORN CANAL DIVERSION DAM; WY</t>
  </si>
  <si>
    <t>bhgm</t>
  </si>
  <si>
    <t>BIG HOLE RIVER NEAR GLEN; MONTANA</t>
  </si>
  <si>
    <t>bhmt</t>
  </si>
  <si>
    <t>BIGHORN RIVER ABOVE TULLOCK CREEK NEAR BIGHORN; MT</t>
  </si>
  <si>
    <t>bhmw</t>
  </si>
  <si>
    <t>BLACKHALL MOUNTAIN; WYOMING</t>
  </si>
  <si>
    <t>bhr</t>
  </si>
  <si>
    <t>BIGHORN LAKE; MONTANA</t>
  </si>
  <si>
    <t>bhrw</t>
  </si>
  <si>
    <t>BIGHORN RIVER NEAR WORLAND; WYOMING</t>
  </si>
  <si>
    <t>bhsx</t>
  </si>
  <si>
    <t>BIGHORN RIVER AND BIA CANAL NEAR ST. XAVIER; MONTANA</t>
  </si>
  <si>
    <t>bhwm</t>
  </si>
  <si>
    <t>BIG HOLE RIVER BELOW MUDD CREEK NEAR WISDOM; MT</t>
  </si>
  <si>
    <t>bhwy</t>
  </si>
  <si>
    <t>BIG HORN CANAL; WYOMING</t>
  </si>
  <si>
    <t>bigsaowy</t>
  </si>
  <si>
    <t>BIG SANDY OPENING; WY</t>
  </si>
  <si>
    <t>bigthom</t>
  </si>
  <si>
    <t>BIG THOMPSON RIVER; CO</t>
  </si>
  <si>
    <t>bil</t>
  </si>
  <si>
    <t>YELLOWSTONE RIVER AT BILLINGS; MT</t>
  </si>
  <si>
    <t>blay</t>
  </si>
  <si>
    <t>BULL LAKE CREEK ABOVE BULL LAKE RESERVOIR; WYOMING</t>
  </si>
  <si>
    <t>blbm</t>
  </si>
  <si>
    <t>BLACK BEAR; MONTANA</t>
  </si>
  <si>
    <t>blck</t>
  </si>
  <si>
    <t>BULL LAKE CREEK BLW BULL LAKE RES NR LENORE; WYOMING</t>
  </si>
  <si>
    <t>bldm</t>
  </si>
  <si>
    <t>BOULDER RIVER NEAR BOULDER; MT</t>
  </si>
  <si>
    <t>bldy</t>
  </si>
  <si>
    <t>BALD MOUNTAIN; WYOMING</t>
  </si>
  <si>
    <t>blkc</t>
  </si>
  <si>
    <t>BEAR LAKE; COLORADO</t>
  </si>
  <si>
    <t>blom</t>
  </si>
  <si>
    <t>BLOODY DICK; MONTANA</t>
  </si>
  <si>
    <t>blr</t>
  </si>
  <si>
    <t>BULL LAKE RESERVOIR ON BULL LAKE CREEK; WYOMING</t>
  </si>
  <si>
    <t>bltw</t>
  </si>
  <si>
    <t>BEARTOOTH LAKE; WYOMING</t>
  </si>
  <si>
    <t>bludilco</t>
  </si>
  <si>
    <t>BLUE RIVER BELOW DILLON; COLORADO</t>
  </si>
  <si>
    <t>blugreco</t>
  </si>
  <si>
    <t>BLUE RIVER BELOW GREEN MOUNTAIN RESERVOIR; CO</t>
  </si>
  <si>
    <t>blwy</t>
  </si>
  <si>
    <t>BLACKWATER; WYOMING</t>
  </si>
  <si>
    <t>bocm</t>
  </si>
  <si>
    <t>BROKEN-O CANAL; MONTANA</t>
  </si>
  <si>
    <t>bomm</t>
  </si>
  <si>
    <t>BOULDER MOUNTAIN; MONTANA</t>
  </si>
  <si>
    <t>bomt</t>
  </si>
  <si>
    <t>BROKEN O RANCH; MONTANA WEATHER STATION</t>
  </si>
  <si>
    <t>bonc</t>
  </si>
  <si>
    <t>BONNY RESERVOIR; COLORADO</t>
  </si>
  <si>
    <t>boutunco</t>
  </si>
  <si>
    <t>CHARLES H. BOUSTEAD TUNNEL; CO</t>
  </si>
  <si>
    <t>boxm</t>
  </si>
  <si>
    <t>BOX CANYON; MONTANA</t>
  </si>
  <si>
    <t>boyr</t>
  </si>
  <si>
    <t>BOYSEN RESERVOIR; THERMOPOLIS; WYOMING</t>
  </si>
  <si>
    <t>boyw</t>
  </si>
  <si>
    <t>BOYSEN WEATHER STATION NR THERMOPOLIS; WYOMING</t>
  </si>
  <si>
    <t>bozm</t>
  </si>
  <si>
    <t>BOZEMAN MONTANA WEATHER STATION  6W</t>
  </si>
  <si>
    <t>brbm</t>
  </si>
  <si>
    <t>BELLY RIVER @ INTERNATIONAL BOUNDARY; MONTANA</t>
  </si>
  <si>
    <t>brcm</t>
  </si>
  <si>
    <t>BRACKETT CREEK; MONTANA</t>
  </si>
  <si>
    <t>brcw</t>
  </si>
  <si>
    <t>BURROUGHS CREEK; WYOMING</t>
  </si>
  <si>
    <t>brdm</t>
  </si>
  <si>
    <t>BEAVERHEAD RIVER AT DILLON; MONTANA</t>
  </si>
  <si>
    <t>brgm</t>
  </si>
  <si>
    <t>BUFFALO RAPIDS WEATHER STATION NEAR GLENDIVE; MT</t>
  </si>
  <si>
    <t>brjw</t>
  </si>
  <si>
    <t>BURGESS JUNCTION; WYOMING</t>
  </si>
  <si>
    <t>brmc</t>
  </si>
  <si>
    <t>BRUMLEY; COLORADO</t>
  </si>
  <si>
    <t>broklnwy</t>
  </si>
  <si>
    <t>BROOKLYN LAKE; WY</t>
  </si>
  <si>
    <t>brtb</t>
  </si>
  <si>
    <t>BEAVERHEAD RIVER AT TWIN BRIDGES; MT</t>
  </si>
  <si>
    <t>brtm</t>
  </si>
  <si>
    <t>BUFFALO RAPIDS WEATHER STATION NEAR TERRY; MT</t>
  </si>
  <si>
    <t>bsck</t>
  </si>
  <si>
    <t>BIG SANDY CREEK NEAR HAVRE; MONTANA</t>
  </si>
  <si>
    <t>bsdy</t>
  </si>
  <si>
    <t>BONE SPRINGS DIVIDE; WYOMING</t>
  </si>
  <si>
    <t>btabesco</t>
  </si>
  <si>
    <t>BIG THOMPSON RIVER ABOVE LAKE ESTES; CO</t>
  </si>
  <si>
    <t>btblesco</t>
  </si>
  <si>
    <t>BIG THOMPSON RIVER BELOW LAKE ESTES; CO</t>
  </si>
  <si>
    <t>btcan</t>
  </si>
  <si>
    <t>BIG THOMPSON RIVER AT CANYON MOUTH; CO (SCADA)</t>
  </si>
  <si>
    <t>btcanyco</t>
  </si>
  <si>
    <t>BIG THOMPSON RIVER AT CANYON MOUTH; NR DRAKE; CO</t>
  </si>
  <si>
    <t>btclhtco</t>
  </si>
  <si>
    <t>COLORADO - BIG THOMPSON; CO</t>
  </si>
  <si>
    <t>btdm</t>
  </si>
  <si>
    <t>BLACKTAIL DEER CREEK AT DILLON; MONTANA</t>
  </si>
  <si>
    <t>btnfdrco</t>
  </si>
  <si>
    <t>NORTH FORK BIG THOMPSON RIVER AT DRAKE; CO</t>
  </si>
  <si>
    <t>btnw</t>
  </si>
  <si>
    <t>BEAR TRAP MEADOW; WYOMING</t>
  </si>
  <si>
    <t>btppmcco</t>
  </si>
  <si>
    <t>POWER PLANT AT BIG THOMPSON RVR CANYON MOUTH; CO</t>
  </si>
  <si>
    <t>bustunco</t>
  </si>
  <si>
    <t>BUSK-IVANHOE TUNNEL; COLORADO    (Parshall Flume)</t>
  </si>
  <si>
    <t>bvb</t>
  </si>
  <si>
    <t>BEAVERHEAD RIVER AT BARRETTS; MONTANA</t>
  </si>
  <si>
    <t>bvtb</t>
  </si>
  <si>
    <t>BEAVERHEAD RIVER NR TWIN BRIDGES; MT</t>
  </si>
  <si>
    <t>bwne</t>
  </si>
  <si>
    <t>BLACKWOOD WASTEWAY; NEBRASKA</t>
  </si>
  <si>
    <t>caawne</t>
  </si>
  <si>
    <t>CAMBRIDGE CANAL; WASTEWAY; ALMA; NEBRASKA</t>
  </si>
  <si>
    <t>cabm</t>
  </si>
  <si>
    <t>MISSOURI RIVER; CENTRAL AVE BRIDGE; GREAT FALLS; MT</t>
  </si>
  <si>
    <t>cane</t>
  </si>
  <si>
    <t>CALAMUS RESERVOIR (VIRGINIA SMITH DAM); NEBRASKA</t>
  </si>
  <si>
    <t>canw</t>
  </si>
  <si>
    <t>CANYON; WYOMING</t>
  </si>
  <si>
    <t>caoxne</t>
  </si>
  <si>
    <t>CAMBRIDGE CANAL AT OXFORD; NEBRASKA</t>
  </si>
  <si>
    <t>carconco</t>
  </si>
  <si>
    <t>CARTER CONDUIT FLOW METER; COLORADO</t>
  </si>
  <si>
    <t>cardivco</t>
  </si>
  <si>
    <t>CARTER DIVERSION/BYPASS; COLORADO</t>
  </si>
  <si>
    <t>care</t>
  </si>
  <si>
    <t>NORTH FORK RED RIVER NEAR CARTER; OKLAHOMA</t>
  </si>
  <si>
    <t>carterco</t>
  </si>
  <si>
    <t>CARTER LAKE RESERVOIR NEAR LOVELAND; CO</t>
  </si>
  <si>
    <t>casm</t>
  </si>
  <si>
    <t>MISSOURI RIVER BRIDGE AT CASCADE; MT</t>
  </si>
  <si>
    <t>casperwy</t>
  </si>
  <si>
    <t>CASPER; WY</t>
  </si>
  <si>
    <t>cawne</t>
  </si>
  <si>
    <t>CAMBRIDGE CANAL; WASTEWAY; ORLEANS; NEBRASKA</t>
  </si>
  <si>
    <t>cawy</t>
  </si>
  <si>
    <t>CASPER CANAL; WYOMING</t>
  </si>
  <si>
    <t>cbcm</t>
  </si>
  <si>
    <t>CUT BANK CREEK AT CUT BANK; MT</t>
  </si>
  <si>
    <t>cbkm</t>
  </si>
  <si>
    <t>CUT BANK CREEK NEAR BROWNING; MT</t>
  </si>
  <si>
    <t>cbks</t>
  </si>
  <si>
    <t>CEDAR BLUFF RESERVOIR NR ELLIS; KANSAS</t>
  </si>
  <si>
    <t>ccdt</t>
  </si>
  <si>
    <t>CHOKE CANYON RESERVOIR NEAR THREE RIVERS; TEXAS</t>
  </si>
  <si>
    <t>ccfrne</t>
  </si>
  <si>
    <t>CENTER CREEK AT FRANKLIN; NEBRASKA</t>
  </si>
  <si>
    <t>ccks</t>
  </si>
  <si>
    <t>CAWKER CITY DIKE; KANSAS</t>
  </si>
  <si>
    <t>ccne</t>
  </si>
  <si>
    <t>COURTLAND CANAL; MILE 0.7; NEBRASKA</t>
  </si>
  <si>
    <t>ccr</t>
  </si>
  <si>
    <t>CLARK CANYON RESERVOIR; BEAVERHEAD RVR NR DILLON; MT</t>
  </si>
  <si>
    <t>MTAO</t>
  </si>
  <si>
    <t>ccrw</t>
  </si>
  <si>
    <t>CASTLE CREEK; WYOMING</t>
  </si>
  <si>
    <t>ccwy</t>
  </si>
  <si>
    <t>CHERRY CREEK DRAIN; WYOMING</t>
  </si>
  <si>
    <t>cdcy</t>
  </si>
  <si>
    <t>CODY CANAL SOUTH FORK OF SHOSHONE RIVER; WYOMING</t>
  </si>
  <si>
    <t>cdne</t>
  </si>
  <si>
    <t>CAMBRIDGE DIVERSION; NEBRASKA</t>
  </si>
  <si>
    <t>cegm</t>
  </si>
  <si>
    <t>ST. MARY CANAL AT EMMIGRANT GAP; MONTANA</t>
  </si>
  <si>
    <t>cfbm</t>
  </si>
  <si>
    <t>CLARKS FORK YELLOWSTONE RIVER NEAR BELFRY; MT</t>
  </si>
  <si>
    <t>cfr</t>
  </si>
  <si>
    <t>CANYON FERRY LAKE NEAR HELENA; MONTANA</t>
  </si>
  <si>
    <t>cfrsat</t>
  </si>
  <si>
    <t>cheney</t>
  </si>
  <si>
    <t>CHENEY DAM; KANSAS</t>
  </si>
  <si>
    <t>cheny</t>
  </si>
  <si>
    <t>Cheny Dam</t>
  </si>
  <si>
    <t>chmbrsco</t>
  </si>
  <si>
    <t>CHAMBERS LAKE; CO</t>
  </si>
  <si>
    <t>chpdivco</t>
  </si>
  <si>
    <t>CHAPMAN CREEK DIVERSION/BYPASS; COLORADO</t>
  </si>
  <si>
    <t>cinw</t>
  </si>
  <si>
    <t>CINNABAR PARK; WYOMING</t>
  </si>
  <si>
    <t>claforco</t>
  </si>
  <si>
    <t>CACHE LA POUDRE RIVER AT FORT COLLINS; CO</t>
  </si>
  <si>
    <t>claftcco</t>
  </si>
  <si>
    <t>CACHE LA POUDRE RVR @ CANYON MOUTH NR FT COLLINS; CO</t>
  </si>
  <si>
    <t>clck</t>
  </si>
  <si>
    <t>CLEAR CREEK NEAR CHINOOK; MONTANA</t>
  </si>
  <si>
    <t>clcm</t>
  </si>
  <si>
    <t>COLE CREEK; MONTANA</t>
  </si>
  <si>
    <t>clmt</t>
  </si>
  <si>
    <t>MISSOURI RIVER NEAR CULBERTSON; MT</t>
  </si>
  <si>
    <t>clvm</t>
  </si>
  <si>
    <t>CALVERT CREEK; MONTANA</t>
  </si>
  <si>
    <t>cmbm</t>
  </si>
  <si>
    <t>ST. MARY CANAL AT MARTIN'S BRIDGE; NEAR BABB; MT</t>
  </si>
  <si>
    <t>cmdm</t>
  </si>
  <si>
    <t>CLOVER MEADOW; MONTANA</t>
  </si>
  <si>
    <t>cmo</t>
  </si>
  <si>
    <t>LAKE COMO RESERVOIR</t>
  </si>
  <si>
    <t>cobb</t>
  </si>
  <si>
    <t>FORT COBB DAM; OKLAHOMA</t>
  </si>
  <si>
    <t>cobc</t>
  </si>
  <si>
    <t>COBB CREEK NEAR EAKLY; OKLAHOMA</t>
  </si>
  <si>
    <t>codywy</t>
  </si>
  <si>
    <t>ARCHIVE DATA REPOSITORY FOR SHOSHONE CANALS; WY</t>
  </si>
  <si>
    <t>colcamco</t>
  </si>
  <si>
    <t>COLORADO RIVER NEAR CAMEO; CO (CCAC)</t>
  </si>
  <si>
    <t>colditco</t>
  </si>
  <si>
    <t>COLUMBINE DITCH; COLORADO</t>
  </si>
  <si>
    <t>coldotco</t>
  </si>
  <si>
    <t>COLORADO RIVER NEAR DOTSERO; EAGLE COUNTY; CO</t>
  </si>
  <si>
    <t>colgbyco</t>
  </si>
  <si>
    <t>COLORADO RIVER BELOW GRANBY RESERVOIR; CO (CGBC)</t>
  </si>
  <si>
    <t>colgleco</t>
  </si>
  <si>
    <t>COLORADO RIVER BELOW GLENWOOD SPRINGS; CO</t>
  </si>
  <si>
    <t>colkreco</t>
  </si>
  <si>
    <t>COLORADO RIVER NEAR KREMMLING; CO (CKMC)</t>
  </si>
  <si>
    <t>colmbnco</t>
  </si>
  <si>
    <t>COLUMBINE; CO</t>
  </si>
  <si>
    <t>colngbco</t>
  </si>
  <si>
    <t>COLORADO RIVER NEAR GRANBY RESERVOIR; CO</t>
  </si>
  <si>
    <t>colpalco</t>
  </si>
  <si>
    <t>COLORADO RIVER NEAR PALISADE; COLORADO (CGVC)</t>
  </si>
  <si>
    <t>colutaco</t>
  </si>
  <si>
    <t>COLORADO RIVER NEAR COLORADO-UTAH STATE LINE (CCUC)</t>
  </si>
  <si>
    <t>comt</t>
  </si>
  <si>
    <t>CONRAD MONTANA WEATHER STATION</t>
  </si>
  <si>
    <t>cone</t>
  </si>
  <si>
    <t>COURTLAND CANAL; STATE LINE; NEBRASKA</t>
  </si>
  <si>
    <t>coplndco</t>
  </si>
  <si>
    <t>COPELAND; CO</t>
  </si>
  <si>
    <t>cosw</t>
  </si>
  <si>
    <t>COLD SPRINGS; WYOMING</t>
  </si>
  <si>
    <t>cpcm</t>
  </si>
  <si>
    <t>COPPER CAMP; MONTANA</t>
  </si>
  <si>
    <t>cpkw</t>
  </si>
  <si>
    <t>CLOUD PEAK RESERVOIR; WYOMING</t>
  </si>
  <si>
    <t>cpmc</t>
  </si>
  <si>
    <t>COPPER MOUNTAIN; COLORADO</t>
  </si>
  <si>
    <t>crbi</t>
  </si>
  <si>
    <t>CRAB CREEK; IDAHO</t>
  </si>
  <si>
    <t>ID</t>
  </si>
  <si>
    <t>crbt</t>
  </si>
  <si>
    <t>CANADIAN RIVER NEAR AMARILLO (HWY 87 &amp; 287); TEXAS</t>
  </si>
  <si>
    <t>cred</t>
  </si>
  <si>
    <t>CHEYENNE RIVER AT EDGEMONT; SOUTH DAKOTA</t>
  </si>
  <si>
    <t>crow</t>
  </si>
  <si>
    <t>CROW CREEK; WYOMING</t>
  </si>
  <si>
    <t>crrm</t>
  </si>
  <si>
    <t>CARROT BASIN; MONTANA</t>
  </si>
  <si>
    <t>crym</t>
  </si>
  <si>
    <t>CRYSTAL LAKE; MONTANA</t>
  </si>
  <si>
    <t>cune</t>
  </si>
  <si>
    <t>CULBERTSON CANAL; MILE 0.53; NE</t>
  </si>
  <si>
    <t>cxne</t>
  </si>
  <si>
    <t>CULBERTSON EXTENSION CANAL; NEBRASKA</t>
  </si>
  <si>
    <t>dane</t>
  </si>
  <si>
    <t>DAVIS CREEK DAM; NEBRASKA</t>
  </si>
  <si>
    <t>dcabne</t>
  </si>
  <si>
    <t>MIRDAN CANAL INLET TO DAVIS CREEK DAM; NEBRASKA</t>
  </si>
  <si>
    <t>dcby</t>
  </si>
  <si>
    <t>DINWOODY CREEK ABOVE LAKES; NEAR BURRIS; WY</t>
  </si>
  <si>
    <t>dccy</t>
  </si>
  <si>
    <t>DRY CREEK CANAL NEAR BURRIS; WYOMING</t>
  </si>
  <si>
    <t>ddmm</t>
  </si>
  <si>
    <t>DEADMAN CREEK; MONTANA</t>
  </si>
  <si>
    <t>dedmnhco</t>
  </si>
  <si>
    <t>DEAD MAN HILL; CO</t>
  </si>
  <si>
    <t>dfr</t>
  </si>
  <si>
    <t>DEERFIELD RESERVOIR; SOUTH DAKOTA</t>
  </si>
  <si>
    <t>dfrt</t>
  </si>
  <si>
    <t>DRY FRIO RIVER NR REAGAN WELLS; TEXAS</t>
  </si>
  <si>
    <t>dhlm</t>
  </si>
  <si>
    <t>DARKHORSE LAKE; MONTANA</t>
  </si>
  <si>
    <t>dillonco</t>
  </si>
  <si>
    <t>DILLON 1E; COLORADO (CLIMATOLOGY)</t>
  </si>
  <si>
    <t>diltunco</t>
  </si>
  <si>
    <t>DILLIE TUNNEL AT THOMPSON RIVER NR DRAKE; CO</t>
  </si>
  <si>
    <t>divm</t>
  </si>
  <si>
    <t>DIVIDE; MONTANA</t>
  </si>
  <si>
    <t>dlnm</t>
  </si>
  <si>
    <t>DILLON MONTANA WEATHER STATION</t>
  </si>
  <si>
    <t>dmlw</t>
  </si>
  <si>
    <t>DOME LAKE; WYOMING</t>
  </si>
  <si>
    <t>dodm</t>
  </si>
  <si>
    <t>DODSON NORTH CANAL; MT</t>
  </si>
  <si>
    <t>dodnthmt</t>
  </si>
  <si>
    <t>DODSON NORTH MAIN DIVERSION</t>
  </si>
  <si>
    <t>dodpmpmt</t>
  </si>
  <si>
    <t>DODSON PUMP MAIN DIVERSION</t>
  </si>
  <si>
    <t>dodsthmt</t>
  </si>
  <si>
    <t>DODSON SOUTH MAIN DIVERSION</t>
  </si>
  <si>
    <t>dpcm</t>
  </si>
  <si>
    <t>DODSON PUMPS CANAL; MT</t>
  </si>
  <si>
    <t>dpkw</t>
  </si>
  <si>
    <t>DEER PARK; WYOMING</t>
  </si>
  <si>
    <t>dpym</t>
  </si>
  <si>
    <t>DUPUYER CREEK; MONTANA</t>
  </si>
  <si>
    <t>drby</t>
  </si>
  <si>
    <t>DRY CREEK NEAR BURRIS; WYOMING</t>
  </si>
  <si>
    <t>drmt</t>
  </si>
  <si>
    <t>DEARBORN RIVER NEAR CRAIG; MT</t>
  </si>
  <si>
    <t>dscm</t>
  </si>
  <si>
    <t>DODSON SOUTH CANAL; MT</t>
  </si>
  <si>
    <t>dsne</t>
  </si>
  <si>
    <t>DRY SPOTTED TAIL DIVERSION INTO TRI-STATE CANAL; WY</t>
  </si>
  <si>
    <t>dukt</t>
  </si>
  <si>
    <t>DOVE CREEK AT KNICKERBOCKER; TEXAS</t>
  </si>
  <si>
    <t>dune</t>
  </si>
  <si>
    <t>DUNLAP DIVERSION; NEBRASKA</t>
  </si>
  <si>
    <t>dvdy</t>
  </si>
  <si>
    <t>DIVIDE PEAK; WYOMING</t>
  </si>
  <si>
    <t>eapr</t>
  </si>
  <si>
    <t>E.A. PATTERSON LAKE (DICKINSON); NORTH DAKOTA</t>
  </si>
  <si>
    <t>ND</t>
  </si>
  <si>
    <t>ecamne</t>
  </si>
  <si>
    <t>ELM CREEK AT AMBOY; NEBRASKA</t>
  </si>
  <si>
    <t>eden</t>
  </si>
  <si>
    <t>SMITH RIVER NEAR EDEN; MT</t>
  </si>
  <si>
    <t>edne</t>
  </si>
  <si>
    <t>ENDERS DAM AND DIKE; NEBRASKA</t>
  </si>
  <si>
    <t>ekpw</t>
  </si>
  <si>
    <t>ELKHART PARK G. S.; WYOMING</t>
  </si>
  <si>
    <t>elkc</t>
  </si>
  <si>
    <t>ELK RIVER; COLORADO</t>
  </si>
  <si>
    <t>emcm</t>
  </si>
  <si>
    <t>EMERY CREEK; MONTANA</t>
  </si>
  <si>
    <t>estesr</t>
  </si>
  <si>
    <t>LAKE ESTES RESERVOIR; CO (SCADA)</t>
  </si>
  <si>
    <t>estspkco</t>
  </si>
  <si>
    <t>LAKE ESTES (OLYMPUS DAM); CO</t>
  </si>
  <si>
    <t>evny</t>
  </si>
  <si>
    <t>EVENING STAR; WYOMING</t>
  </si>
  <si>
    <t>ewiditco</t>
  </si>
  <si>
    <t>EWING DITCH; COLORADO</t>
  </si>
  <si>
    <t>fbcm</t>
  </si>
  <si>
    <t>FORT BELKNAP BIA CANAL; MONTANA</t>
  </si>
  <si>
    <t>fcabne</t>
  </si>
  <si>
    <t>FRENCHMAN CREEK ABOVE ENDERS RESERVOIR; NEBRASKA</t>
  </si>
  <si>
    <t>fcne</t>
  </si>
  <si>
    <t>FORT LARAMIE CANAL AT MILE POST 85.3 (PARSHALL); NE</t>
  </si>
  <si>
    <t>fcwdcne</t>
  </si>
  <si>
    <t>FRANKLIN CANAL WASTEWAY AT DRY CREEK; NEBRASKA</t>
  </si>
  <si>
    <t>fcwicne</t>
  </si>
  <si>
    <t>FRANKLIN CANAL WASTEWAY AT INDIAN CREEK; NEBRASKA</t>
  </si>
  <si>
    <t>fcwy</t>
  </si>
  <si>
    <t>FORT LARAMIE CANAL AT MILE POST 0.8; WYOMING</t>
  </si>
  <si>
    <t>fishesco</t>
  </si>
  <si>
    <t>FISH CREEK NR ESTES PARK; CO</t>
  </si>
  <si>
    <t>flaresco</t>
  </si>
  <si>
    <t>FLATIRON RESERVOIR; LOVELAND; CO</t>
  </si>
  <si>
    <t>flatirco</t>
  </si>
  <si>
    <t>FLATIRON RESERVOIR OUTFLOW; CO (SCADA)</t>
  </si>
  <si>
    <t>flmt</t>
  </si>
  <si>
    <t>SMITH RIVER; FORT LOGAN; MT</t>
  </si>
  <si>
    <t>fltirnr</t>
  </si>
  <si>
    <t>FLATIRON RESERVOIR; CO (SCADA)</t>
  </si>
  <si>
    <t>flwy</t>
  </si>
  <si>
    <t>LARAMIE RIVER NR FORT LARAMIE; WYOMING</t>
  </si>
  <si>
    <t>fmsy</t>
  </si>
  <si>
    <t>FIVEMILE CREEK NEAR SHOSHONI; WY</t>
  </si>
  <si>
    <t>foss</t>
  </si>
  <si>
    <t>FOSS DAM; OKLAHOMA</t>
  </si>
  <si>
    <t>foupinco</t>
  </si>
  <si>
    <t>FOUNTAIN CREEK NEAR PINON; COLORADO</t>
  </si>
  <si>
    <t>foupueco</t>
  </si>
  <si>
    <t>FOUNTAIN CREEK AT PUEBLO; COLORADO</t>
  </si>
  <si>
    <t>fpne</t>
  </si>
  <si>
    <t>FRANKLIN PUMP CANAL; NEBRASKA</t>
  </si>
  <si>
    <t>frawinco</t>
  </si>
  <si>
    <t>FRASER RIVER AT WINTER PARK; COLORADO</t>
  </si>
  <si>
    <t>frbm</t>
  </si>
  <si>
    <t>FRENCHMAN RIVER AT INTERNATIONAL BOUNDARY; MT</t>
  </si>
  <si>
    <t>frct</t>
  </si>
  <si>
    <t>FRIO RIVER AT CONCAN; TEXAS</t>
  </si>
  <si>
    <t>frdt</t>
  </si>
  <si>
    <t>FRIO RIVER NEAR DERBY; TEXAS</t>
  </si>
  <si>
    <t>fremntco</t>
  </si>
  <si>
    <t>FREMONT PASS; CO</t>
  </si>
  <si>
    <t>frhm</t>
  </si>
  <si>
    <t>FROHNER MEADOW; MONTANA</t>
  </si>
  <si>
    <t>frne</t>
  </si>
  <si>
    <t>FRANKLIN CANAL; NEBRASKA</t>
  </si>
  <si>
    <t>frr</t>
  </si>
  <si>
    <t>FRESNO RESERVOIR NEAR HAVRE; MONTANA</t>
  </si>
  <si>
    <t>frtt</t>
  </si>
  <si>
    <t>FRIO RIVER AT TILDEN; TEXAS</t>
  </si>
  <si>
    <t>frut</t>
  </si>
  <si>
    <t>FRIO RIVER BELOW DRY FRIO RIVER NEAR UVALDE; TEXAS</t>
  </si>
  <si>
    <t>frydivco</t>
  </si>
  <si>
    <t>FRYINGPAN RIVER DIVERSION/BYPASS; COLORADO</t>
  </si>
  <si>
    <t>frymerco</t>
  </si>
  <si>
    <t>FRYINGPAN RIVER NEAR MEREDITH; COLORADO</t>
  </si>
  <si>
    <t>frynfnco</t>
  </si>
  <si>
    <t>NORTH FORK FRYINGPAN RIVER NR NORRIE; CO</t>
  </si>
  <si>
    <t>fryrudco</t>
  </si>
  <si>
    <t>FRYINGPAN RIVER NEAR RUEDI; EAGLE COUNTY; CO</t>
  </si>
  <si>
    <t>frythoco</t>
  </si>
  <si>
    <t>FRYINGPAN RIVER NEAR THOMASVILLE; CO</t>
  </si>
  <si>
    <t>fsdm</t>
  </si>
  <si>
    <t>FORT SHAW DIVERSION DAM NEAR SIMMS; MONTANA</t>
  </si>
  <si>
    <t>fshm</t>
  </si>
  <si>
    <t>FISHER CREEK; MONTANA</t>
  </si>
  <si>
    <t>ftbelkmt</t>
  </si>
  <si>
    <t>FORT BELKNAP CANAL MAIN DIVERSION; MONTANA</t>
  </si>
  <si>
    <t>ftmm</t>
  </si>
  <si>
    <t>FLATTOP MOUNTAIN; MONTANA</t>
  </si>
  <si>
    <t>fune</t>
  </si>
  <si>
    <t>FULLERTON CANAL BELOW DAVIS CREEK DAM; NEBRASKA</t>
  </si>
  <si>
    <t>gcrm</t>
  </si>
  <si>
    <t>GRINNELL CREEK NEAR MANY GLACIER; MT</t>
  </si>
  <si>
    <t>gdmm</t>
  </si>
  <si>
    <t>GIBSON DAM WEATHER STATION; MONTANA</t>
  </si>
  <si>
    <t>gdsne</t>
  </si>
  <si>
    <t>GUIDE ROCK DIVERSION DAM; SOUTH CHANNEL; NEBRASKA</t>
  </si>
  <si>
    <t>gdwy</t>
  </si>
  <si>
    <t>GRAY REEF DAM; WYOMING</t>
  </si>
  <si>
    <t>gfmt</t>
  </si>
  <si>
    <t>GREENFIELDS WEATHER STATION NR FAIRFIELD; MT  8NE</t>
  </si>
  <si>
    <t>gfne</t>
  </si>
  <si>
    <t>GERING CANAL-BADLANDS PARSHALL FLUME; NEBRASKA</t>
  </si>
  <si>
    <t>ggwy</t>
  </si>
  <si>
    <t>N PLATTE RIV BELOW GRAY REEF RESERVOIR NR ALCOVA; WY</t>
  </si>
  <si>
    <t>ghcm</t>
  </si>
  <si>
    <t>GRASSHOPPER CREEK AT BANNACK STATE PARK; MT</t>
  </si>
  <si>
    <t>ghicanco</t>
  </si>
  <si>
    <t>GOVERNMENT HIGHLINE CANAL NR GRAND JUNCTION; CO</t>
  </si>
  <si>
    <t>gibr</t>
  </si>
  <si>
    <t>GIBSON RESERVOIR; MONTANA</t>
  </si>
  <si>
    <t>gl6sswco</t>
  </si>
  <si>
    <t>GRAND LAKE 6SSW; CO</t>
  </si>
  <si>
    <t>glaresco</t>
  </si>
  <si>
    <t>GRAND LAKE; COLORADO</t>
  </si>
  <si>
    <t>glasgomt</t>
  </si>
  <si>
    <t>GLASGOW MAIN DIVERSION; MONTANA</t>
  </si>
  <si>
    <t>gler</t>
  </si>
  <si>
    <t>GLENDO RESERVOIR; WYOMING</t>
  </si>
  <si>
    <t>glgm</t>
  </si>
  <si>
    <t>GLASGOW MONTANA WEATHER STATION</t>
  </si>
  <si>
    <t>glwy</t>
  </si>
  <si>
    <t>N PLATTE RIVER BELOW GLENDO DAM; WYOMING</t>
  </si>
  <si>
    <t>gmtr</t>
  </si>
  <si>
    <t>GREEN MOUNTAIN RESERVOIR; CO (SCADA)</t>
  </si>
  <si>
    <t>gowy</t>
  </si>
  <si>
    <t>N PLATTE RIVER BELOW GUERNSEY DAM; WYOMING</t>
  </si>
  <si>
    <t>granbyr</t>
  </si>
  <si>
    <t>GRANBY RESERVOIR; CO (SCADA)</t>
  </si>
  <si>
    <t>grandr</t>
  </si>
  <si>
    <t>GRAND LAKE; CO (SCADA)</t>
  </si>
  <si>
    <t>grar</t>
  </si>
  <si>
    <t>GRAY REEF RESERVOIR; WY (SCADA)</t>
  </si>
  <si>
    <t>graresco</t>
  </si>
  <si>
    <t>LAKE GRANBY NEAR GRANBY; COLORADO</t>
  </si>
  <si>
    <t>grdtchco</t>
  </si>
  <si>
    <t>GRAND DITCH; CO</t>
  </si>
  <si>
    <t>grdvalco</t>
  </si>
  <si>
    <t>GRAND VALLEY CANAL NR GRAND JUNCTION; CO</t>
  </si>
  <si>
    <t>greelcco</t>
  </si>
  <si>
    <t>ELLIOT CK CANAL NR GREEN MOUNTAIN RESERVOIR; CO</t>
  </si>
  <si>
    <t>greresco</t>
  </si>
  <si>
    <t>GREEN MOUNTAIN RESERVOIR; SUMMIT COUNTY; CO</t>
  </si>
  <si>
    <t>grgm</t>
  </si>
  <si>
    <t>GALLATIN RIVER NEAR GALLATIN GATEWAY; MT</t>
  </si>
  <si>
    <t>grizlyco</t>
  </si>
  <si>
    <t>GRIZZLY PEAK; CO</t>
  </si>
  <si>
    <t>grl1nwco</t>
  </si>
  <si>
    <t>GRAND LAKE 1NW; CO</t>
  </si>
  <si>
    <t>grmy</t>
  </si>
  <si>
    <t>GREYBULL RIVER AT MEETEETSE; WYOMING</t>
  </si>
  <si>
    <t>grndivco</t>
  </si>
  <si>
    <t>GRANITE DIVERSION/BYPASS; COLORADO (FROM IVNDIVCO)</t>
  </si>
  <si>
    <t>grsw</t>
  </si>
  <si>
    <t>GRAVE SPRINGS; WYOMING</t>
  </si>
  <si>
    <t>grvw</t>
  </si>
  <si>
    <t>GROS VENTRE SUMMIT; WYOMING</t>
  </si>
  <si>
    <t>grwy</t>
  </si>
  <si>
    <t>NORTH PLATTE RIVER NR GLENROCK; WY</t>
  </si>
  <si>
    <t>guer</t>
  </si>
  <si>
    <t>GUERNSEY RESERVOIR; WY (SCADA)</t>
  </si>
  <si>
    <t>guwy</t>
  </si>
  <si>
    <t>GUERNSEY RESERVOIR; WYOMING</t>
  </si>
  <si>
    <t>gwwy</t>
  </si>
  <si>
    <t>WEATHER STATION; GUERNSEY DAM; WYOMING</t>
  </si>
  <si>
    <t>haldivco</t>
  </si>
  <si>
    <t>HALFMOON CREEK BL HALFMOON DIV. NEAR LEADVILLE; CO</t>
  </si>
  <si>
    <t>hane</t>
  </si>
  <si>
    <t>HIGHLINE CANAL ABOVE MINATARE DIVERSION; NEBRASKA</t>
  </si>
  <si>
    <t>harlemmt</t>
  </si>
  <si>
    <t>HARLEM PUMP MAIN DIVERSION; MONTANA</t>
  </si>
  <si>
    <t>haum</t>
  </si>
  <si>
    <t>MISSOURI RIVER BELOW HAUSER DAM; MONTANA</t>
  </si>
  <si>
    <t>hbby</t>
  </si>
  <si>
    <t>HOBBS PARK; WYOMING</t>
  </si>
  <si>
    <t>hbhm</t>
  </si>
  <si>
    <t>HIGHWAY 384 BRIDGE AT HARDIN; MT</t>
  </si>
  <si>
    <t>hbne</t>
  </si>
  <si>
    <t>HUGH BUTLER LAKE (RED WILLOW DAM); NEBRASKA</t>
  </si>
  <si>
    <t>hcht</t>
  </si>
  <si>
    <t>HONDO CREEK AT STATE HIGHWAY 173 NEAR HONDO; TEXAS</t>
  </si>
  <si>
    <t>hcne</t>
  </si>
  <si>
    <t>HARLAN COUNTY DAM; NEBRASKA</t>
  </si>
  <si>
    <t>hctt</t>
  </si>
  <si>
    <t>HONDO CREEK NR TARPLEY; TEXAS</t>
  </si>
  <si>
    <t>hdco</t>
  </si>
  <si>
    <t>HALE DITCH BELOW BONNY DAM; COLORAD0</t>
  </si>
  <si>
    <t>hdhm</t>
  </si>
  <si>
    <t>HUNTLEY DIVERSIONS NEAR HUNTLEY; MT</t>
  </si>
  <si>
    <t>hdne</t>
  </si>
  <si>
    <t>HIGHLINE CANAL; NEBRASKA</t>
  </si>
  <si>
    <t>hebr</t>
  </si>
  <si>
    <t>HEBGEN LAKE NEAR WEST YELLOWSTONE; MONTANA</t>
  </si>
  <si>
    <t>henresco</t>
  </si>
  <si>
    <t>LAKE HENRY RESERVOIR; CO</t>
  </si>
  <si>
    <t>hewy</t>
  </si>
  <si>
    <t>NORTH PLATTE RIVER AT WYOMING-NEBRASKA STATE LINE</t>
  </si>
  <si>
    <t>BCANNON</t>
  </si>
  <si>
    <t>hfc930co</t>
  </si>
  <si>
    <t>CHARLES HANSEN FEEDER CANAL; 930 SECTION; COLORADO</t>
  </si>
  <si>
    <t>hfcbbsco</t>
  </si>
  <si>
    <t>HANSEN FEEDER CANAL FLOW NORTH; 550 SECTION; CO</t>
  </si>
  <si>
    <t>hfcfltco</t>
  </si>
  <si>
    <t>CHARLES HANSEN FEEDER CANAL @ FLATIRON RES; COLORADO</t>
  </si>
  <si>
    <t>hfcwasco</t>
  </si>
  <si>
    <t>CHARLES HANSEN FEEDER CANAL WASTEWAY TO BIG THOMPSON</t>
  </si>
  <si>
    <t>hgh</t>
  </si>
  <si>
    <t>HUNGRY HORSE RES NR HUNGRY HORSE; MT</t>
  </si>
  <si>
    <t>hghm</t>
  </si>
  <si>
    <t>S.FK. FLATHEAD RVR NR COLUMBIA FALLS @ HUNGRY HORSE</t>
  </si>
  <si>
    <t>hhwy</t>
  </si>
  <si>
    <t>HIGHLAND HANOVER CANAL; WYOMING</t>
  </si>
  <si>
    <t>hmmc</t>
  </si>
  <si>
    <t>HALFMOON CREEK NEAR MALTA; COLORADO</t>
  </si>
  <si>
    <t>hmne</t>
  </si>
  <si>
    <t>HIGHLINE CANAL BELOW DIVERSION; NEBRASKA</t>
  </si>
  <si>
    <t>hmwy</t>
  </si>
  <si>
    <t>HIGHLAND MADDEN CANAL; WYOMING</t>
  </si>
  <si>
    <t>hnsw</t>
  </si>
  <si>
    <t>HANSEN SAWMILL; WYOMING</t>
  </si>
  <si>
    <t>hntdivco</t>
  </si>
  <si>
    <t>HUNTER CREEK DIVERSION/BYPASS; COLORADO</t>
  </si>
  <si>
    <t>holm</t>
  </si>
  <si>
    <t>MISSOURI RIVER BLW HOLTER DAM &amp; CANYON FERRY DAM; MT</t>
  </si>
  <si>
    <t>homoutco</t>
  </si>
  <si>
    <t>HOMESTAKE RESERVOIR; COLORADO (STATE DATA)</t>
  </si>
  <si>
    <t>homtunco</t>
  </si>
  <si>
    <t>HOMESTAKE TUNNEL; COLORADO</t>
  </si>
  <si>
    <t>hosierco</t>
  </si>
  <si>
    <t>HOOSIER PASS; COLORADO</t>
  </si>
  <si>
    <t>hrlm</t>
  </si>
  <si>
    <t>HARLEM MONTANA WEATHER STATION</t>
  </si>
  <si>
    <t>hscm</t>
  </si>
  <si>
    <t>HARLEM SECONDARY CANAL; MT</t>
  </si>
  <si>
    <t>hsne</t>
  </si>
  <si>
    <t>HARRY STRUNK LAKE (MEDICINE CREEK DAM); NEBRASKA</t>
  </si>
  <si>
    <t>htoothr</t>
  </si>
  <si>
    <t>HORSETOOTH RESERVOIR NEAR FORT COLLINS; CO</t>
  </si>
  <si>
    <t>huntasco</t>
  </si>
  <si>
    <t>HUNTER CREEK NR ASPEN; CO</t>
  </si>
  <si>
    <t>hvmt</t>
  </si>
  <si>
    <t>HELENA VALLEY MONTANA WEATHER STATION  4N</t>
  </si>
  <si>
    <t>hvr</t>
  </si>
  <si>
    <t>HELENA VALLEY IRRIGATION &amp; MUNICIPAL SUPPLY</t>
  </si>
  <si>
    <t>hwwy</t>
  </si>
  <si>
    <t>HIGHLAND WEST CANAL; WYOMING</t>
  </si>
  <si>
    <t>hxwy</t>
  </si>
  <si>
    <t>HIGHLAND EAST CANAL; WYOMING</t>
  </si>
  <si>
    <t>icwy</t>
  </si>
  <si>
    <t>INTERSTATE CANAL AT MILE POST 1.0; WYOMING</t>
  </si>
  <si>
    <t>ihco</t>
  </si>
  <si>
    <t>IVANHOE; COLORADO</t>
  </si>
  <si>
    <t>ilah</t>
  </si>
  <si>
    <t>LUGERT DIKE; ALTUS; OKLAHOMA</t>
  </si>
  <si>
    <t>illranco</t>
  </si>
  <si>
    <t>ILLINOIS RIVER NEAR RAND; CO</t>
  </si>
  <si>
    <t>ispi</t>
  </si>
  <si>
    <t>ISLAND PARK; IDAHO</t>
  </si>
  <si>
    <t>ivndivco</t>
  </si>
  <si>
    <t>IVANHOE CREEK DIVERSION/BYPASS; COLORADO</t>
  </si>
  <si>
    <t>jamr</t>
  </si>
  <si>
    <t>JAMESTOWN RESERVOIR; NORTH DAKOTA</t>
  </si>
  <si>
    <t>jhny</t>
  </si>
  <si>
    <t>JOHNSTOWN DITCH AT HEADWORKS; NEAR KINNEAR; WY</t>
  </si>
  <si>
    <t>jmrcadco</t>
  </si>
  <si>
    <t>JOHN MARTIN RESERVOIR AT CADDOA; COLORADO</t>
  </si>
  <si>
    <t>jrmt</t>
  </si>
  <si>
    <t>JEFFERSON RIVER NEAR TWIN BRIDGES; MT</t>
  </si>
  <si>
    <t>jvwm</t>
  </si>
  <si>
    <t>JEFFERSON RVR VALLEY WEATHER STA. NR WHITEHALL; MT</t>
  </si>
  <si>
    <t>jwrc</t>
  </si>
  <si>
    <t>JOE WRIGHT; COLORADO</t>
  </si>
  <si>
    <t>kawy</t>
  </si>
  <si>
    <t>BIGHORN RIVER AT KANE; WY</t>
  </si>
  <si>
    <t>kcwy</t>
  </si>
  <si>
    <t>KIRBY CANAL; WYOMING</t>
  </si>
  <si>
    <t>kdne</t>
  </si>
  <si>
    <t>KENT DIVERSION; NEBRASKA</t>
  </si>
  <si>
    <t>kdwy</t>
  </si>
  <si>
    <t>KATZER DRAIN; WYOMING</t>
  </si>
  <si>
    <t>keyr</t>
  </si>
  <si>
    <t>KEYHOLE RESERVOIR; WYOMING</t>
  </si>
  <si>
    <t>klnc</t>
  </si>
  <si>
    <t>KILN; COLORADO</t>
  </si>
  <si>
    <t>korr</t>
  </si>
  <si>
    <t>KORTES RESERVOIR; WY (SCADA)</t>
  </si>
  <si>
    <t>kowy</t>
  </si>
  <si>
    <t>N PLATTE RIVER BELOW KORTES DAM; WYOMING</t>
  </si>
  <si>
    <t>krww</t>
  </si>
  <si>
    <t>KIRWIN; WYOMING</t>
  </si>
  <si>
    <t>ksks</t>
  </si>
  <si>
    <t>KEITH SEBELIUS LAKE (NORTON DAM); KANSAS</t>
  </si>
  <si>
    <t>kwks</t>
  </si>
  <si>
    <t>KIRWIN RESERVOIR AT KIRWIN; KANSAS</t>
  </si>
  <si>
    <t>lakatlco</t>
  </si>
  <si>
    <t>LAKE CREEK ABOVE TWIN LAKES; CO</t>
  </si>
  <si>
    <t>lakbtlco</t>
  </si>
  <si>
    <t>LAKE CREEK BELOW TWIN LAKES; COLORADO</t>
  </si>
  <si>
    <t>lane</t>
  </si>
  <si>
    <t>LITTLE LAKE ALICE RESERVOIR EL-OUTFLOW; NEBRASKA</t>
  </si>
  <si>
    <t>lbhm</t>
  </si>
  <si>
    <t>LITTLE BIGHORN RIVER NEAR HARDIN; MT</t>
  </si>
  <si>
    <t>lbsm</t>
  </si>
  <si>
    <t>LITTLE BIGHORN RIVER @STATE LINE NR WYOLA; MT</t>
  </si>
  <si>
    <t>lcbm</t>
  </si>
  <si>
    <t>LODGE CREEK BELOW MCRAE CR @ INTERNATIONAL BOUNDARY</t>
  </si>
  <si>
    <t>lccy</t>
  </si>
  <si>
    <t>LE CLAIR DIVERSION CANAL; WYOMING</t>
  </si>
  <si>
    <t>lckm</t>
  </si>
  <si>
    <t>LICK CREEK; MONTANA</t>
  </si>
  <si>
    <t>lcks</t>
  </si>
  <si>
    <t>LOWER COURTLAND CANAL; MILE 38.0; KANSAS</t>
  </si>
  <si>
    <t>lckw</t>
  </si>
  <si>
    <t>LARSEN CREEK; WYOMING</t>
  </si>
  <si>
    <t>ldne</t>
  </si>
  <si>
    <t>LAKE ALICE DAM - 1.5 DRAIN; NE</t>
  </si>
  <si>
    <t>lelc</t>
  </si>
  <si>
    <t>LAKE ELDORA; COLORADO</t>
  </si>
  <si>
    <t>ler</t>
  </si>
  <si>
    <t>LAKE ELWELL SPILLWAY TRANSDUCER; MONTANA</t>
  </si>
  <si>
    <t>lerm</t>
  </si>
  <si>
    <t>LAKE ELWELL AUXILIARY OUTLET BUBBLER; MONTANA</t>
  </si>
  <si>
    <t>lfcbslco</t>
  </si>
  <si>
    <t>LAKE FORK CREEK BELOW SUGAR LOAF DAM; COLORADO</t>
  </si>
  <si>
    <t>lfrm</t>
  </si>
  <si>
    <t>LAKE FRANCES RESERVOIR; MONTANA</t>
  </si>
  <si>
    <t>lgmt</t>
  </si>
  <si>
    <t>GALLATIN RIVER; LOGAN; MT</t>
  </si>
  <si>
    <t>lgwm</t>
  </si>
  <si>
    <t>LODGE GRASS CREEK ABOVE WILLOW CREEK NEAR WYOLA; MT</t>
  </si>
  <si>
    <t>lhdy</t>
  </si>
  <si>
    <t>LEFTHAND DITCH AT HEADWORKS; NEAR RIVERTON; WY</t>
  </si>
  <si>
    <t>lhwy</t>
  </si>
  <si>
    <t>LOWER HANOVER CANAL; WYOMING</t>
  </si>
  <si>
    <t>limr</t>
  </si>
  <si>
    <t>LIMA RESV. UPSTREAM OF CLARK CANYON RESV.; MONTANA</t>
  </si>
  <si>
    <t>lingrrco</t>
  </si>
  <si>
    <t>LINCOLN CREEK BLW GRIZZLY RESERVOIR; CO</t>
  </si>
  <si>
    <t>lireneco</t>
  </si>
  <si>
    <t>LAKE IRENE; COLORADO</t>
  </si>
  <si>
    <t>lkcturco</t>
  </si>
  <si>
    <t>LAKE FORK CREEK ABOVE TURQUOISE RESERVOIR; CO</t>
  </si>
  <si>
    <t>lkvy</t>
  </si>
  <si>
    <t>LAKE VIEW CANAL; SOUTH FORK SHOSHONE; WYOMING</t>
  </si>
  <si>
    <t>lmhm</t>
  </si>
  <si>
    <t>LEMHI RIDGE; MONTANA</t>
  </si>
  <si>
    <t>lmmm</t>
  </si>
  <si>
    <t>LOWER MUSSELSHELL WEATHER STATION NEAR MELSTONE; MT</t>
  </si>
  <si>
    <t>lmne</t>
  </si>
  <si>
    <t>LAKE MINATARE RESERVOIR; NEBRASKA</t>
  </si>
  <si>
    <t>lomt</t>
  </si>
  <si>
    <t>POWDER RIVER AT LOCATE; MONTANA</t>
  </si>
  <si>
    <t>lovlndco</t>
  </si>
  <si>
    <t>LOVELAND BASIN; COLORADO</t>
  </si>
  <si>
    <t>lply</t>
  </si>
  <si>
    <t>LITTLE POPO AGIE RIVER NEAR LANDER; WYOMING</t>
  </si>
  <si>
    <t>lppwcm</t>
  </si>
  <si>
    <t>LITTLE PRICKLY PEAR CREEK AT WOLF CREEK; MONTANA</t>
  </si>
  <si>
    <t>lppy</t>
  </si>
  <si>
    <t>LAPRELE CREEK; WYOMING</t>
  </si>
  <si>
    <t>lpwy</t>
  </si>
  <si>
    <t>LUCERNE PUMPS (UPPER AND LOWER); WYOMING</t>
  </si>
  <si>
    <t>ltr</t>
  </si>
  <si>
    <t>LAKE TSCHIDA (HEART BUTTE); NORTH DAKOTA</t>
  </si>
  <si>
    <t>ltwy</t>
  </si>
  <si>
    <t>LITTLE WARM; WYOMING</t>
  </si>
  <si>
    <t>lvabks</t>
  </si>
  <si>
    <t>COURTLAND CANAL INLET TO LOVEWELL RESERVOIR; KS</t>
  </si>
  <si>
    <t>lvks</t>
  </si>
  <si>
    <t>LOVEWELL DAM; KANSAS</t>
  </si>
  <si>
    <t>lvrm</t>
  </si>
  <si>
    <t>LAKEVIEW RIDGE; MONTANA</t>
  </si>
  <si>
    <t>lwrv</t>
  </si>
  <si>
    <t>LITTLE WIND RIVER NEAR RIVERTON; WYOMING</t>
  </si>
  <si>
    <t>lwtm</t>
  </si>
  <si>
    <t>LOWER TWIN; MONTANA</t>
  </si>
  <si>
    <t>lwwy</t>
  </si>
  <si>
    <t>SO FK LTL WIND R AB WASHAKIE RES NR FT WASHAKIE; WY</t>
  </si>
  <si>
    <t>macm</t>
  </si>
  <si>
    <t>MARIAS RIVER AT HWY 223 BRIDGE NEAR CHESTER; MONTANA</t>
  </si>
  <si>
    <t>mamt</t>
  </si>
  <si>
    <t>MADISON RIVER AT MCALLISTER; MT</t>
  </si>
  <si>
    <t>manm</t>
  </si>
  <si>
    <t>MANY GLACIER; MONTANA</t>
  </si>
  <si>
    <t>marditco</t>
  </si>
  <si>
    <t>MARION DITCH NR LEADVILLE; COLORADO</t>
  </si>
  <si>
    <t>mari</t>
  </si>
  <si>
    <t>MARIAS RIVER NEAR CHESTER; MONTANA</t>
  </si>
  <si>
    <t>marm</t>
  </si>
  <si>
    <t>MARIAS RIVER NEAR SHELBY; MONTANA</t>
  </si>
  <si>
    <t>marylaco</t>
  </si>
  <si>
    <t>MARYS LAKE; COLORADO</t>
  </si>
  <si>
    <t>marysr</t>
  </si>
  <si>
    <t>matm</t>
  </si>
  <si>
    <t>MALTA MONTANA WEATHER STATION</t>
  </si>
  <si>
    <t>mbgt</t>
  </si>
  <si>
    <t>MIDDLE CONCHO RIVER NR BARNHART (HWY 163); TEXAS</t>
  </si>
  <si>
    <t>mbow</t>
  </si>
  <si>
    <t>MED BOW; WYOMING</t>
  </si>
  <si>
    <t>mbwy</t>
  </si>
  <si>
    <t>MEDICINE BOW RVR ABV SEMINOE RESERVOIR NR HANNA; WY</t>
  </si>
  <si>
    <t>mcabne</t>
  </si>
  <si>
    <t>MEDICINE CREEK ABOVE HARRY STRUNK LAKE; NEBRASKA</t>
  </si>
  <si>
    <t>mcarne</t>
  </si>
  <si>
    <t>MUDDY CREEK AT ARAPAHOE; NEBRASKA</t>
  </si>
  <si>
    <t>mcblne</t>
  </si>
  <si>
    <t>MEDICINE CREEK BELOW HARRY STRUNK LAKE; NEBRASKA</t>
  </si>
  <si>
    <t>mccm</t>
  </si>
  <si>
    <t>MILK RIVER AT CREE CROSSING; MONTANA</t>
  </si>
  <si>
    <t>mcdh</t>
  </si>
  <si>
    <t>MCGEE CREEK DAM; OKLAHOMA</t>
  </si>
  <si>
    <t>mcne</t>
  </si>
  <si>
    <t>MIRDAN CANAL; VIRGINIA SMITH DAM; NEBRASKA</t>
  </si>
  <si>
    <t>mcpm</t>
  </si>
  <si>
    <t>MUDDY CREEK NEAR POWER; MT</t>
  </si>
  <si>
    <t>mcudivco</t>
  </si>
  <si>
    <t>MIDDLE CUNNINGHAM DIVERSION/BYPASS; COLORADO</t>
  </si>
  <si>
    <t>mcvm</t>
  </si>
  <si>
    <t>MUDDY CREEK AT VAUGHN; MONTANA</t>
  </si>
  <si>
    <t>mcwh</t>
  </si>
  <si>
    <t>MCGEE CREEK WILDLIFE AREA; OKLAHOMA</t>
  </si>
  <si>
    <t>mcwy</t>
  </si>
  <si>
    <t>MUDDY CREEK NEAR SHOSHONI; WYOMING</t>
  </si>
  <si>
    <t>mddw</t>
  </si>
  <si>
    <t>MIDDLE POWDER; WYOMING</t>
  </si>
  <si>
    <t>mdne</t>
  </si>
  <si>
    <t>MEEKER - DRIFTWOOD CANAL; NEBRASKA</t>
  </si>
  <si>
    <t>mdpm</t>
  </si>
  <si>
    <t>MADISON PLATEAU; MONTANA</t>
  </si>
  <si>
    <t>mdwne</t>
  </si>
  <si>
    <t>MEEKER - DRIFTWOOD CANAL; WASTEWAY; NEBRASKA</t>
  </si>
  <si>
    <t>melm</t>
  </si>
  <si>
    <t>BIG HOLE RIVER NEAR MELROSE; MT</t>
  </si>
  <si>
    <t>mfbm</t>
  </si>
  <si>
    <t>MISSOURI RIVER AT FORT BENTON; MT</t>
  </si>
  <si>
    <t>mfpm</t>
  </si>
  <si>
    <t>MISSOURI RIVER BELOW FORT PECK DAM; MT</t>
  </si>
  <si>
    <t>mgfm</t>
  </si>
  <si>
    <t>MISSOURI RIVER NEAR GREAT FALLS; MT</t>
  </si>
  <si>
    <t>mgne</t>
  </si>
  <si>
    <t>MITCHELL GERING CANAL NEAR STATE LINE; NEBRASKA</t>
  </si>
  <si>
    <t>mhvm</t>
  </si>
  <si>
    <t>MILK RIVER AT HAVRE; MONTANA</t>
  </si>
  <si>
    <t>middivco</t>
  </si>
  <si>
    <t>MIDWAY CREEK DIVERSION/BYPASS; COLORADO</t>
  </si>
  <si>
    <t>mine</t>
  </si>
  <si>
    <t>LAKE MINATARE RESERVOIR (INFLOW); NEBRASKA</t>
  </si>
  <si>
    <t>mlkacct</t>
  </si>
  <si>
    <t>MILK RIVER NATURAL FLOW ACCOUNTING; MONTANA</t>
  </si>
  <si>
    <t>mls</t>
  </si>
  <si>
    <t>YELLOWSTONE RIVER AT MILES CITY; MT</t>
  </si>
  <si>
    <t>mlto</t>
  </si>
  <si>
    <t>TONGUE RIVER AT MILES CITY; MT</t>
  </si>
  <si>
    <t>mnpm</t>
  </si>
  <si>
    <t>MONUMENT PEAK; MONTANA</t>
  </si>
  <si>
    <t>mnvm</t>
  </si>
  <si>
    <t>MUDDY CREEK NEAR VAUGHN; MONTANA</t>
  </si>
  <si>
    <t>moki</t>
  </si>
  <si>
    <t>MOOSE CREEK; IDAHO</t>
  </si>
  <si>
    <t>mone</t>
  </si>
  <si>
    <t>LAKE MINATARE RESERVOIR (OUTFLOW); NEBRASKA</t>
  </si>
  <si>
    <t>mordivco</t>
  </si>
  <si>
    <t>MORMON DIVERSION/BYPASS; COLORADO</t>
  </si>
  <si>
    <t>morweaco</t>
  </si>
  <si>
    <t>MORMON CONTROL HOUSE WEATHER STATION; COLORADO</t>
  </si>
  <si>
    <t>mpwy</t>
  </si>
  <si>
    <t>MIDDLE POPO AGIE RVR BLW SINKS NR LANDER; WYOMING</t>
  </si>
  <si>
    <t>mrcm</t>
  </si>
  <si>
    <t>MADISON RIVER AT KIRBY RANCH NEAR CAMERON; MT</t>
  </si>
  <si>
    <t>mrdm</t>
  </si>
  <si>
    <t>MILK RIVER AT DODSON; MONTANA</t>
  </si>
  <si>
    <t>mrec</t>
  </si>
  <si>
    <t>MILK RIVER AT EASTERN CROSSING OF INTNATL BOUNDARY</t>
  </si>
  <si>
    <t>mrhm</t>
  </si>
  <si>
    <t>MILK RIVER NEAR HARLEM; MONTANA</t>
  </si>
  <si>
    <t>mrlm</t>
  </si>
  <si>
    <t>MARIAS RIVER NEAR LOMA; MONTANA</t>
  </si>
  <si>
    <t>mrmm</t>
  </si>
  <si>
    <t>MILK RIVER AT MALTA; MT</t>
  </si>
  <si>
    <t>mrmr</t>
  </si>
  <si>
    <t>MILK RIVER AT MILK RIVER; ALBERTA</t>
  </si>
  <si>
    <t>mrne</t>
  </si>
  <si>
    <t>MERRITT DAM; NEBRASKA</t>
  </si>
  <si>
    <t>mrqy</t>
  </si>
  <si>
    <t>MARQUETTE; WYOMING</t>
  </si>
  <si>
    <t>mrtm</t>
  </si>
  <si>
    <t>MILK RIVER AT TAMPICO; MT</t>
  </si>
  <si>
    <t>mrwc</t>
  </si>
  <si>
    <t>MILK RIVER @ WESTERN CROSSING OF INTL BOUNDARY; MT</t>
  </si>
  <si>
    <t>mtelfbco</t>
  </si>
  <si>
    <t>MOUNT ELBERT FOREBAY; CO</t>
  </si>
  <si>
    <t>mtkm</t>
  </si>
  <si>
    <t>MOUNT LOCKHART; MONTANA</t>
  </si>
  <si>
    <t>mudkreco</t>
  </si>
  <si>
    <t>MUDDY CK BLW WOLFORD RESV NR KREMMLING; COLORADO</t>
  </si>
  <si>
    <t>mulm</t>
  </si>
  <si>
    <t>MULE CREEK; MONTANA</t>
  </si>
  <si>
    <t>mutt</t>
  </si>
  <si>
    <t>MIDDLE CONCHO RIVER ABV TANKERSLEY; TEXAS</t>
  </si>
  <si>
    <t>mwsm</t>
  </si>
  <si>
    <t>MOCCASIN WEATHER STATION; MT</t>
  </si>
  <si>
    <t>mwym</t>
  </si>
  <si>
    <t>MADISON RIVER NEAR WEST YELLOWSTONE; MT</t>
  </si>
  <si>
    <t>namt</t>
  </si>
  <si>
    <t>MILK RIVER; NASHUA; MT</t>
  </si>
  <si>
    <t>nasty</t>
  </si>
  <si>
    <t>LAKE NASWORTHY NEAR SAN ANGELO; TEXAS</t>
  </si>
  <si>
    <t>ncot</t>
  </si>
  <si>
    <t>NUECES RIVER AT COTULLA; TEXAS</t>
  </si>
  <si>
    <t>ncudivco</t>
  </si>
  <si>
    <t>NORTH CUNNINGHAM DIVERSION/BYPASS; COLORADO</t>
  </si>
  <si>
    <t>nelfdrmt</t>
  </si>
  <si>
    <t>NELSON FEEDER CANAL; MONTANA</t>
  </si>
  <si>
    <t>nelr</t>
  </si>
  <si>
    <t>NELSON RESERVOIR AT DAM 10 MILES NW OF SACO; MT</t>
  </si>
  <si>
    <t>nelsthmt</t>
  </si>
  <si>
    <t>NELSON SOUTH MAIN DIVERSION; MONTANA</t>
  </si>
  <si>
    <t>nes02340</t>
  </si>
  <si>
    <t>CHAPMAN DIVERSION TEST CHANNEL; CO</t>
  </si>
  <si>
    <t>nevsnoco</t>
  </si>
  <si>
    <t>NEVER SUMMER; COLORADO</t>
  </si>
  <si>
    <t>nfbm</t>
  </si>
  <si>
    <t>NORTH FORK BELLY RIVER @ INTERNATIONAL BOUNDARY; MT</t>
  </si>
  <si>
    <t>nfcy</t>
  </si>
  <si>
    <t>NORTH FRENCH CREEK; WYOMING</t>
  </si>
  <si>
    <t>nfkdivco</t>
  </si>
  <si>
    <t>NORTH FORK DIVERSION/BYPASS; CO (FROM CARDIVCO)</t>
  </si>
  <si>
    <t>nfma</t>
  </si>
  <si>
    <t>NORTH FK MILK R AB CANAL NR BROWNING; MONTANA</t>
  </si>
  <si>
    <t>nfmb</t>
  </si>
  <si>
    <t>NORTH FORK MILK RIVER NEAR BOUNDARY; MONTANA</t>
  </si>
  <si>
    <t>nfne</t>
  </si>
  <si>
    <t>NORTHPORT CANAL AT RED WILLOW FLUME; NEBRASKA</t>
  </si>
  <si>
    <t>nfs</t>
  </si>
  <si>
    <t>NORTH FORK SHOSHONE RIVER NEAR WAPITI; WYOMING</t>
  </si>
  <si>
    <t>nfsm</t>
  </si>
  <si>
    <t>NORTH FORK SUN RIVER NEAR AUGUSTA; MT</t>
  </si>
  <si>
    <t>nfwy</t>
  </si>
  <si>
    <t>NORTH FORK LITTLE WIND RIVER NEAR FORT WASHAKIE; WY</t>
  </si>
  <si>
    <t>ngcl</t>
  </si>
  <si>
    <t>NORTH PLATTE RIVER NEAR NORTHGATE; COLORADO</t>
  </si>
  <si>
    <t>niwc</t>
  </si>
  <si>
    <t>NIWOT; COLORADO</t>
  </si>
  <si>
    <t>njpsrdm</t>
  </si>
  <si>
    <t>SUN RIVER DIVERSION DAM; MONTANA</t>
  </si>
  <si>
    <t>nlco</t>
  </si>
  <si>
    <t>NAST LAKE; COLORADO</t>
  </si>
  <si>
    <t>nncm</t>
  </si>
  <si>
    <t>NELSON NORTH MAIN DIVERSION; MONTANA</t>
  </si>
  <si>
    <t>noim</t>
  </si>
  <si>
    <t>NOISY BASIN; MONTANA</t>
  </si>
  <si>
    <t>nondivco</t>
  </si>
  <si>
    <t>NO NAME CREEK DIVERSION/BYPASS; COLORADO</t>
  </si>
  <si>
    <t>norm</t>
  </si>
  <si>
    <t>NORTHEAST ENTRANCE; MONTANA</t>
  </si>
  <si>
    <t>norman</t>
  </si>
  <si>
    <t>NORMAN DAM; (LAKE THUNDERBIRD); OKLAHOMA</t>
  </si>
  <si>
    <t>npcw</t>
  </si>
  <si>
    <t>NORTH PLATTE RIVER AT CASPER; WYOMING</t>
  </si>
  <si>
    <t>npne</t>
  </si>
  <si>
    <t>NAPONEE CANAL; NEBRASKA</t>
  </si>
  <si>
    <t>npow</t>
  </si>
  <si>
    <t>NORTH PLATTE RIVER AT ORIN; WYOMING</t>
  </si>
  <si>
    <t>nrbt</t>
  </si>
  <si>
    <t>NUECES RIVER AT BLUNTZER; TEXAS</t>
  </si>
  <si>
    <t>nrmt</t>
  </si>
  <si>
    <t>NUECES RIVER NEAR MATHIS; TEXAS</t>
  </si>
  <si>
    <t>nrtt</t>
  </si>
  <si>
    <t>NUECES RIVER NEAR TILDEN; TEXAS</t>
  </si>
  <si>
    <t>nscm</t>
  </si>
  <si>
    <t>NELSON SOUTH CANAL; MT</t>
  </si>
  <si>
    <t>ntrt</t>
  </si>
  <si>
    <t>NUECES RIVER NEAR THREE RIVERS; TEXAS</t>
  </si>
  <si>
    <t>ocaw</t>
  </si>
  <si>
    <t>OWL CREEK AT ARAPAHOE RANCH; WYOMING</t>
  </si>
  <si>
    <t>oldbatco</t>
  </si>
  <si>
    <t>OLD BATTLE CREEK; COLORADO</t>
  </si>
  <si>
    <t>olww</t>
  </si>
  <si>
    <t>OWL CREEK; WYOMING</t>
  </si>
  <si>
    <t>olwy</t>
  </si>
  <si>
    <t>OCEAN DRAIN AT OCEAN LAKE OUTLET NR PAVILLION; WY</t>
  </si>
  <si>
    <t>olydamco</t>
  </si>
  <si>
    <t>OLYMPUS DAM NEAR ESTES PARK; COLORADO</t>
  </si>
  <si>
    <t>olytunco</t>
  </si>
  <si>
    <t>OLYMPUS TUNNEL (ESTES FOOTHILLS CANL) AT LAKE ESTES</t>
  </si>
  <si>
    <t>orchidco</t>
  </si>
  <si>
    <t>ORCHARD MESA IRRIGATION DISTRICT CANAL; PALISADE; CO</t>
  </si>
  <si>
    <t>orwy</t>
  </si>
  <si>
    <t>NORTH PLATTE RIVER AT ORIN JCT.; WY</t>
  </si>
  <si>
    <t>osks</t>
  </si>
  <si>
    <t>OSBORNE CANAL; KANSAS</t>
  </si>
  <si>
    <t>pardismt</t>
  </si>
  <si>
    <t>PARADISE MAIN DIVERSION; MONTANA</t>
  </si>
  <si>
    <t>patr</t>
  </si>
  <si>
    <t>PATHFINDER RESERVOIR; WYOMING</t>
  </si>
  <si>
    <t>pawy</t>
  </si>
  <si>
    <t>NORTH PLATTE RIVER BL PATHFINDER DAM; WY</t>
  </si>
  <si>
    <t>pbr</t>
  </si>
  <si>
    <t>PILOT BUTTE OFFSTREAM; 22 MILES NW OF RIVERTON; WY</t>
  </si>
  <si>
    <t>pccm</t>
  </si>
  <si>
    <t>PONDERA COUNTY CANAL; MONTANA</t>
  </si>
  <si>
    <t>pcdm</t>
  </si>
  <si>
    <t>PEOPLES CR BEL KUHR COULEE NR DODSON; MT</t>
  </si>
  <si>
    <t>pchm</t>
  </si>
  <si>
    <t>PEOPLES CREEK NEAR HAYS; MT</t>
  </si>
  <si>
    <t>pckm</t>
  </si>
  <si>
    <t>PICKFOOT CREEK; MONTANA</t>
  </si>
  <si>
    <t>pcpb</t>
  </si>
  <si>
    <t>PILOT CANAL BELOW PILOT BUTTE RESERVOIR; WYOMING</t>
  </si>
  <si>
    <t>phantmco</t>
  </si>
  <si>
    <t>PHANTOM VALLEY; COLORADO</t>
  </si>
  <si>
    <t>picm</t>
  </si>
  <si>
    <t>PIKE CREEK; MONTANA</t>
  </si>
  <si>
    <t>pinresco</t>
  </si>
  <si>
    <t>PINEWOOD RESERVOIR; LOVELAND; CO</t>
  </si>
  <si>
    <t>pist</t>
  </si>
  <si>
    <t>PIPESTEM DAM; NORTH DAKOTA</t>
  </si>
  <si>
    <t>placamco</t>
  </si>
  <si>
    <t>PLATEAU CREEK NEAR CAMEO; COLORADO</t>
  </si>
  <si>
    <t>plcm</t>
  </si>
  <si>
    <t>PLACER BASIN; MONTANA</t>
  </si>
  <si>
    <t>pophyrco</t>
  </si>
  <si>
    <t>PORPHYRY CREEK; COLORADO</t>
  </si>
  <si>
    <t>prkw</t>
  </si>
  <si>
    <t>PARKER PEAK; WYOMING</t>
  </si>
  <si>
    <t>prpm</t>
  </si>
  <si>
    <t>PORCUPINE; MONTANA</t>
  </si>
  <si>
    <t>pshr</t>
  </si>
  <si>
    <t>PISHKUN RESERVOIR NEAR AUGUSTA; MONTANA</t>
  </si>
  <si>
    <t>ptr</t>
  </si>
  <si>
    <t>PACTOLA RESERVOIR NEAR RAPID CITY; SOUTH DAKOTA</t>
  </si>
  <si>
    <t>puer</t>
  </si>
  <si>
    <t>PUEBLO RESERVOIR;ARKANSAS RIVER NR PUEBLO; COLORADO</t>
  </si>
  <si>
    <t>puerwxco</t>
  </si>
  <si>
    <t>PUEBLO FIELD OFFICE WEATHER STATION; COLORADO</t>
  </si>
  <si>
    <t>purbtrco</t>
  </si>
  <si>
    <t>PURGATORIE RIVER BELOW TRINIDAD RESERVOIR; CO</t>
  </si>
  <si>
    <t>purlasco</t>
  </si>
  <si>
    <t>PURGATORIE RIVER NEAR LAS ANIMAS; CO</t>
  </si>
  <si>
    <t>purmadco</t>
  </si>
  <si>
    <t>PURGATORIE RIVER AT MADRID; CO</t>
  </si>
  <si>
    <t>purninco</t>
  </si>
  <si>
    <t>PURGATORIE RIVER AT NINEMILE DAM; NR HIGBEE; CO</t>
  </si>
  <si>
    <t>purthaco</t>
  </si>
  <si>
    <t>PURGATORIE RIVER NEAR THATCHER; CO</t>
  </si>
  <si>
    <t>purtrico</t>
  </si>
  <si>
    <t>PURGATORIE RIVER AT TRINIDAD; CO</t>
  </si>
  <si>
    <t>pwdw</t>
  </si>
  <si>
    <t>POWDER RIVER PASS; WYOMING</t>
  </si>
  <si>
    <t>rawsnoco</t>
  </si>
  <si>
    <t>RAWAH; COLORADO</t>
  </si>
  <si>
    <t>rbmt</t>
  </si>
  <si>
    <t>MISSOURI RIVER AT LANDUSKY; MT</t>
  </si>
  <si>
    <t>rbym</t>
  </si>
  <si>
    <t>RUBY RIVER VALLEY WEATHER STATION NR LAURIN; MT</t>
  </si>
  <si>
    <t>rcsok</t>
  </si>
  <si>
    <t>ROCK CREEK AT SULPHUR; OKLAHOMA</t>
  </si>
  <si>
    <t>rcwy</t>
  </si>
  <si>
    <t>RAWHIDE CREEK NEAR LINGLE; WYOMING</t>
  </si>
  <si>
    <t>rfcmerco</t>
  </si>
  <si>
    <t>ROCKY FORK CREEK NR MEREDITH; CO</t>
  </si>
  <si>
    <t>rifresco</t>
  </si>
  <si>
    <t>RIFLE GAP RESERVOIR NR RIFLE; CO</t>
  </si>
  <si>
    <t>rkpm</t>
  </si>
  <si>
    <t>ROCKER PEAK; MONTANA</t>
  </si>
  <si>
    <t>rnhw</t>
  </si>
  <si>
    <t>RENO HILL; WYOMING</t>
  </si>
  <si>
    <t>roaaspco</t>
  </si>
  <si>
    <t>ROARING FORK RIVER NEAR ASPEN; COLORADO (APNC)</t>
  </si>
  <si>
    <t>roabmcco</t>
  </si>
  <si>
    <t>ROARING FORK RIVER BLW MAROON CRK; NR ASPEN; CO</t>
  </si>
  <si>
    <t>roac</t>
  </si>
  <si>
    <t>ROACH; COLORADO</t>
  </si>
  <si>
    <t>roadifco</t>
  </si>
  <si>
    <t>ROARING FORK RIVER ABV DIFFICULT CRK NR ASPEN; CO</t>
  </si>
  <si>
    <t>roaemmco</t>
  </si>
  <si>
    <t>ROARING FORK RIVER NR EMMA; CO</t>
  </si>
  <si>
    <t>roagleco</t>
  </si>
  <si>
    <t>ROARING FORK RIVER AT GLENWOOD SPRINGS; CO</t>
  </si>
  <si>
    <t>roalmcco</t>
  </si>
  <si>
    <t>ROARING FORK RIVER NR LOST MAN CREEK; CO</t>
  </si>
  <si>
    <t>robtunco</t>
  </si>
  <si>
    <t>ROBERTS TUNNEL AT EAST PORTAL NR GRANT; CO</t>
  </si>
  <si>
    <t>rocm</t>
  </si>
  <si>
    <t>ROCKY BOY; MONTANA</t>
  </si>
  <si>
    <t>rprvne</t>
  </si>
  <si>
    <t>REPUBLICAN RIVER NEAR RIVERTON; NEBRASKA</t>
  </si>
  <si>
    <t>rram</t>
  </si>
  <si>
    <t>RUBY RIVER ABOVE RESERVOIR NEAR ALDER; MT</t>
  </si>
  <si>
    <t>rrbm</t>
  </si>
  <si>
    <t>RUBY RIVER BELOW RESERVOIR NEAR ALDER; MT</t>
  </si>
  <si>
    <t>rrcm</t>
  </si>
  <si>
    <t>RED ROCK CREEK ABOVE LAKES NEAR LAKEVIEW; MT</t>
  </si>
  <si>
    <t>rueresco</t>
  </si>
  <si>
    <t>RUEDI RESERVOIR NR BASALT; COLORADO</t>
  </si>
  <si>
    <t>rumt</t>
  </si>
  <si>
    <t>MUSSELSHELL RIVER AT ROUNDUP; MT</t>
  </si>
  <si>
    <t>rvcy</t>
  </si>
  <si>
    <t>RIVERTON VALLEY DIVERSION CANAL; WYOMING</t>
  </si>
  <si>
    <t>rwabne</t>
  </si>
  <si>
    <t>RED WILLOW CREEK ABOVE HUGH BUTLER LAKE; NEBRASKA</t>
  </si>
  <si>
    <t>rwne</t>
  </si>
  <si>
    <t>RED WILLOW DIVERSION; NEBRASKA</t>
  </si>
  <si>
    <t>saco</t>
  </si>
  <si>
    <t>MILK RIVER AT JUNEBERG BRIDGE; NEAR SACO; MT</t>
  </si>
  <si>
    <t>sanford</t>
  </si>
  <si>
    <t>SANFORD DAM (LAKE MEREDITH); TEXAS</t>
  </si>
  <si>
    <t>sayr</t>
  </si>
  <si>
    <t>NORTH FORK RED RIVER NR SAYRE; OKLAHOMA</t>
  </si>
  <si>
    <t>sbcw</t>
  </si>
  <si>
    <t>SOUTH BRUSH CREEK; WYOMING</t>
  </si>
  <si>
    <t>scada</t>
  </si>
  <si>
    <t>BOYSEN RESERVOIR SCADA PARAMETERS FOR HYDROMET</t>
  </si>
  <si>
    <t>scadabb</t>
  </si>
  <si>
    <t>BUFFALO BILL DAM SCADA PARAMETERS FOR HYDROMET</t>
  </si>
  <si>
    <t>scadabh</t>
  </si>
  <si>
    <t>BIGHORN LAKE SCADA PARAMETERS FOR HYDROMET</t>
  </si>
  <si>
    <t>scadabht</t>
  </si>
  <si>
    <t>scadacf</t>
  </si>
  <si>
    <t>CANYON FERRY SCADA PARAMETERS FOR HYDROMET</t>
  </si>
  <si>
    <t>scadacft</t>
  </si>
  <si>
    <t>CANYON FERRY SCADA PARAMETERS FOR HYDROMET-HR TOTALS</t>
  </si>
  <si>
    <t>scbm</t>
  </si>
  <si>
    <t>SWIFTCURRENT CREEK NEAR BABB; MT</t>
  </si>
  <si>
    <t>scbw</t>
  </si>
  <si>
    <t>SAGE CREEK BASIN; WYOMING</t>
  </si>
  <si>
    <t>scco</t>
  </si>
  <si>
    <t>STILLWATER CREEK; COLORADO</t>
  </si>
  <si>
    <t>scne</t>
  </si>
  <si>
    <t>SHEEP CREEK DIVERSION INTO TRI-STATE CANAL; NEBRASKA</t>
  </si>
  <si>
    <t>scry</t>
  </si>
  <si>
    <t>SHELL CREEK; WYOMING</t>
  </si>
  <si>
    <t>scsm</t>
  </si>
  <si>
    <t>SWIFTCURRENT CREEK @ SHERBURNE; MT</t>
  </si>
  <si>
    <t>scwy</t>
  </si>
  <si>
    <t>SHELL CREEK NEAR SHELL; WYOMING</t>
  </si>
  <si>
    <t>sdcm</t>
  </si>
  <si>
    <t>SUN RIVER DITCH COMPANY; MONTANA</t>
  </si>
  <si>
    <t>sdmm</t>
  </si>
  <si>
    <t>SADDLE MTN.; MONTANA</t>
  </si>
  <si>
    <t>sdwm</t>
  </si>
  <si>
    <t>SUN RIVER DITCH COMPANY WASTEWAY INTO MUDDY CREEK;MT</t>
  </si>
  <si>
    <t>sedt</t>
  </si>
  <si>
    <t>SECO CREEK AT ROWE RANCH NR D'HANIS; TEXAS</t>
  </si>
  <si>
    <t>semr</t>
  </si>
  <si>
    <t>SEMINOE RESERVOIR; WYOMING</t>
  </si>
  <si>
    <t>seut</t>
  </si>
  <si>
    <t>SECO CREEK AT MILLER RANCH NR UTOPIA; TEXAS</t>
  </si>
  <si>
    <t>sewr</t>
  </si>
  <si>
    <t>LAKE SEWELL - MPC DATA; MT</t>
  </si>
  <si>
    <t>sfkdivco</t>
  </si>
  <si>
    <t>SOUTH FORK DIVERSION/BYPASS; COLORADO</t>
  </si>
  <si>
    <t>sfksm</t>
  </si>
  <si>
    <t>SOUTH FORK SUN RIVER NEAR AUGUSTA; MT</t>
  </si>
  <si>
    <t>sflm</t>
  </si>
  <si>
    <t>SMITH RIVER NEAR FORT LOGAN; MT</t>
  </si>
  <si>
    <t>sfmm</t>
  </si>
  <si>
    <t>SOUTH FORK MILK RIVER NEAR BABB; MONTANA</t>
  </si>
  <si>
    <t>sfoc</t>
  </si>
  <si>
    <t>SOUTH FORK OWL CREEK; WYOMING</t>
  </si>
  <si>
    <t>sfoy</t>
  </si>
  <si>
    <t>SOUTH FORK OWL CREEK ABOVE ANCHOR RESERVOIR; WYOMING</t>
  </si>
  <si>
    <t>sfs</t>
  </si>
  <si>
    <t>SOUTH FORK SHOSHONE RVR ABV BUFFALO BILL RES.; WY</t>
  </si>
  <si>
    <t>sfsm</t>
  </si>
  <si>
    <t>SOUTH FORK SHIELDS; MONTANA</t>
  </si>
  <si>
    <t>sfvy</t>
  </si>
  <si>
    <t>SOUTH FORK SHOSHONE RIVER NEAR VALLEY; WY</t>
  </si>
  <si>
    <t>sgwy</t>
  </si>
  <si>
    <t>SHOSHONE RIVER NR GARLAND (BELOW SIDON); WYOMING</t>
  </si>
  <si>
    <t>sham</t>
  </si>
  <si>
    <t>NORTH FORK RED RIVER NR SHAMROCK; TEXAS</t>
  </si>
  <si>
    <t>sharesco</t>
  </si>
  <si>
    <t>SHADOW MOUNTAIN RESERVOIR; GRAND COUNTY; CO</t>
  </si>
  <si>
    <t>shcm</t>
  </si>
  <si>
    <t>SHORT CREEK; MONTANA</t>
  </si>
  <si>
    <t>shdmtr</t>
  </si>
  <si>
    <t>SHADOW MOUNTAIN RESERVOIR; COLORADO (SCADA)</t>
  </si>
  <si>
    <t>sher</t>
  </si>
  <si>
    <t>LAKE SHERBURNE; SWIFT CURRENT CREEK NEAR BABB; MT</t>
  </si>
  <si>
    <t>shfm</t>
  </si>
  <si>
    <t>SHOWER FALLS; MONTANA</t>
  </si>
  <si>
    <t>shr</t>
  </si>
  <si>
    <t>SHADEHILL RESERVOIR ON THE GRAND RIVER; SOUTH DAKOTA</t>
  </si>
  <si>
    <t>sidm</t>
  </si>
  <si>
    <t>YELLOWSTONE RIVER NEAR SIDNEY; MONTANA</t>
  </si>
  <si>
    <t>siwy</t>
  </si>
  <si>
    <t>NO. PLATTE RIV ABV SEMINOE RESERVOIR NR SINCLAIR; WY</t>
  </si>
  <si>
    <t>slaw</t>
  </si>
  <si>
    <t>ST. LAWRENCE ALT; WYOMING</t>
  </si>
  <si>
    <t>smbm</t>
  </si>
  <si>
    <t>ST. MARY RIVER ABOVE SWIFTCURRENT; NEAR BABB; MT</t>
  </si>
  <si>
    <t>smgm</t>
  </si>
  <si>
    <t>SWIFT CURRENT CREEK @ MANY GLACIER; MT</t>
  </si>
  <si>
    <t>smim</t>
  </si>
  <si>
    <t>ST. MARY CANAL AT INTAKE NEAR BABB; MONTANA</t>
  </si>
  <si>
    <t>smlm</t>
  </si>
  <si>
    <t>SMITH RIVER BELOW EAGLE CREEK NEAR FORT LOGAN; MT</t>
  </si>
  <si>
    <t>smtt</t>
  </si>
  <si>
    <t>SAN MIGUEL CREEK NEAR TILDEN; TEXAS</t>
  </si>
  <si>
    <t>snlw</t>
  </si>
  <si>
    <t>SAND LAKE; WYOMING</t>
  </si>
  <si>
    <t>snst</t>
  </si>
  <si>
    <t>SABINAL RIVER NR SABINAL; TEXAS</t>
  </si>
  <si>
    <t>snyd</t>
  </si>
  <si>
    <t>OTTER CREEK NEAR SNYDER; OKLAHOMA</t>
  </si>
  <si>
    <t>soawks</t>
  </si>
  <si>
    <t>SOUTH FORK SOLOMON RIVER ABOVE WEBSTER; KANSAS</t>
  </si>
  <si>
    <t>sogeks</t>
  </si>
  <si>
    <t>SOLOMON RIVER NEAR GLEN ELDER; KANSAS</t>
  </si>
  <si>
    <t>soglks</t>
  </si>
  <si>
    <t>NORTH FORK SOLOMON RIVER AT GLADE; KANSAS</t>
  </si>
  <si>
    <t>soosks</t>
  </si>
  <si>
    <t>SOUTH FORK SOLOMON RIVER AT OSBORNE; KANSAS</t>
  </si>
  <si>
    <t>sopasswy</t>
  </si>
  <si>
    <t>SOUTH PASS CITY; WYOMING</t>
  </si>
  <si>
    <t>soprks</t>
  </si>
  <si>
    <t>NORTH FORK SOLOMON RIVER AT PORTIS; KANSAS</t>
  </si>
  <si>
    <t>spne</t>
  </si>
  <si>
    <t>SUPERIOR CANAL; NEBRASKA</t>
  </si>
  <si>
    <t>sprm</t>
  </si>
  <si>
    <t>SPUR PARK; MONTANA</t>
  </si>
  <si>
    <t>sram</t>
  </si>
  <si>
    <t>STILLWATER RIVER NEAR ABSAROKEE; MONTANA</t>
  </si>
  <si>
    <t>srbb</t>
  </si>
  <si>
    <t>SHOSHONE RIVER BELOW BUFFALO BILL; WYOMING</t>
  </si>
  <si>
    <t>srbm</t>
  </si>
  <si>
    <t>SUN RIVER @ AUGUSTA BRIDGE; MONTANA</t>
  </si>
  <si>
    <t>srbw</t>
  </si>
  <si>
    <t>SHOSHONE RIVER BELOW WILLWOOD DAM; WYOMING</t>
  </si>
  <si>
    <t>srdm</t>
  </si>
  <si>
    <t>srem</t>
  </si>
  <si>
    <t>SUN RIVER BELOW ELK CREEK; MT</t>
  </si>
  <si>
    <t>srlm</t>
  </si>
  <si>
    <t>SHIELDS RIVER NEAR LIVINGSTON; MONTANA</t>
  </si>
  <si>
    <t>srly</t>
  </si>
  <si>
    <t>SHOSHONE RIVER NEAR LOVELL; WY</t>
  </si>
  <si>
    <t>srsm</t>
  </si>
  <si>
    <t>SUN RIVER AT SIMMS; MT</t>
  </si>
  <si>
    <t>srst</t>
  </si>
  <si>
    <t>SABINAL RIVER AT SABINAL; TEXAS</t>
  </si>
  <si>
    <t>srwy</t>
  </si>
  <si>
    <t>SHOSHONE RIVER AT WILLWOOD DAM; WYOMING</t>
  </si>
  <si>
    <t>stmb</t>
  </si>
  <si>
    <t>ST. MARY RIVER AT BOUNDARY; MONTANA (NEW 1999)</t>
  </si>
  <si>
    <t>stmc</t>
  </si>
  <si>
    <t>ST. MARY CANAL @ ST. MARY XING NR BABB; MONTANA</t>
  </si>
  <si>
    <t>suct</t>
  </si>
  <si>
    <t>SOUTH CONCHO RIVER AT CHRISTOVAL; TEXAS</t>
  </si>
  <si>
    <t>sucy</t>
  </si>
  <si>
    <t>SUCKER CREEK; WYOMING</t>
  </si>
  <si>
    <t>sukt</t>
  </si>
  <si>
    <t>SWEETWATER CREEK NEAR KELTON; TEXAS</t>
  </si>
  <si>
    <t>sumc</t>
  </si>
  <si>
    <t>SUMMIT RANCH; COLORADO</t>
  </si>
  <si>
    <t>summ</t>
  </si>
  <si>
    <t>SUMMIT; MONTANA</t>
  </si>
  <si>
    <t>sutt</t>
  </si>
  <si>
    <t>SPRING CREEK ABOVE TANKERSLEY; TEXAS</t>
  </si>
  <si>
    <t>svcplaco</t>
  </si>
  <si>
    <t>ST. VRAIN CREEK AT MOUTH; NEAR PLATTEVILLE; CO</t>
  </si>
  <si>
    <t>svwm</t>
  </si>
  <si>
    <t>SHIELDS VALLEY WEATHER STATION NR WILSALL; MONTANA</t>
  </si>
  <si>
    <t>swbm</t>
  </si>
  <si>
    <t>SWIFT CURRENT CREEK @ BRIDGE; MONTANA</t>
  </si>
  <si>
    <t>swne</t>
  </si>
  <si>
    <t>STINKING WATER CREEK AT PALISADE; NEBRASKA</t>
  </si>
  <si>
    <t>swtr</t>
  </si>
  <si>
    <t>SWIFT RESERVOIR; BIRCH CREEK; MONTANA</t>
  </si>
  <si>
    <t>swwy</t>
  </si>
  <si>
    <t>SWEETWATER RIVER NR INDEPENDENCE ROCK; WYOMING</t>
  </si>
  <si>
    <t>sxbm</t>
  </si>
  <si>
    <t>ST. XAVIER BRIDGE NEAR HARDIN; MT</t>
  </si>
  <si>
    <t>syly</t>
  </si>
  <si>
    <t>SYLVAN LAKE; WYOMING</t>
  </si>
  <si>
    <t>syrw</t>
  </si>
  <si>
    <t>SYLVAN ROAD; WYOMING</t>
  </si>
  <si>
    <t>tcedne</t>
  </si>
  <si>
    <t>TURKEY CREEK AT EDISON; NEBRASKA</t>
  </si>
  <si>
    <t>tcnpne</t>
  </si>
  <si>
    <t>TURKEY CREEK AT NAPONEE; NEBRASKA</t>
  </si>
  <si>
    <t>tcpm</t>
  </si>
  <si>
    <t>TANK COULEE NEAR POWER; MT</t>
  </si>
  <si>
    <t>tcrvne</t>
  </si>
  <si>
    <t>THOMPSON CREEK AT RIVERTON; NEBRASKA</t>
  </si>
  <si>
    <t>tcwy</t>
  </si>
  <si>
    <t>TIMBER CREEK; WYOMING</t>
  </si>
  <si>
    <t>tdne</t>
  </si>
  <si>
    <t>TUB SPRINGS DIVERSION INTO TRI-STATE CANAL; NEBRASKA</t>
  </si>
  <si>
    <t>tetm</t>
  </si>
  <si>
    <t>TETON RIVER NEAR DUTTON; MONTANA</t>
  </si>
  <si>
    <t>tfmt</t>
  </si>
  <si>
    <t>JEFFERSON RIVER AT THREE FORKS; MONTANA</t>
  </si>
  <si>
    <t>tfom</t>
  </si>
  <si>
    <t>TETON RIVER BELOW FREEZE OUT RESERVOIR; MT</t>
  </si>
  <si>
    <t>tfwy</t>
  </si>
  <si>
    <t>TIE DOWN FLATS CANAL; WYOMING</t>
  </si>
  <si>
    <t>thmw</t>
  </si>
  <si>
    <t>THUMB DIVIDE; WYOMING</t>
  </si>
  <si>
    <t>tibm</t>
  </si>
  <si>
    <t>TIZER BASIN; MONTANA</t>
  </si>
  <si>
    <t>tiew</t>
  </si>
  <si>
    <t>TIE CREEK; WYOMING</t>
  </si>
  <si>
    <t>tlbm</t>
  </si>
  <si>
    <t>TWO LEGGINS BRIDGE NEAR HARDIN; MT</t>
  </si>
  <si>
    <t>tmrm</t>
  </si>
  <si>
    <t>TWO MEDICINE RIVER BELOW SOUTH FORK NR BROWNING; MT</t>
  </si>
  <si>
    <t>togy</t>
  </si>
  <si>
    <t>TOGWOTEE PASS; WYOMING</t>
  </si>
  <si>
    <t>toms</t>
  </si>
  <si>
    <t>MOUNTAIN PARK DAM (TOM STEED RESERVOIR); OKLAHOMA</t>
  </si>
  <si>
    <t>tomt</t>
  </si>
  <si>
    <t>MISSOURI RIVER; TOSTON; MONTANA</t>
  </si>
  <si>
    <t>topw</t>
  </si>
  <si>
    <t>TWO OCEAN PLATEAU; WYOMING</t>
  </si>
  <si>
    <t>tosm</t>
  </si>
  <si>
    <t>TOSTON MONTANA WEATHER STATION (2WSW); MONTANA</t>
  </si>
  <si>
    <t>towc</t>
  </si>
  <si>
    <t>TOWER; COLORADO</t>
  </si>
  <si>
    <t>tpem</t>
  </si>
  <si>
    <t>TEPEE CREEK; MONTANA</t>
  </si>
  <si>
    <t>trcm</t>
  </si>
  <si>
    <t>TETON RIVER BELOW SOUTH FORK; NEAR CHOTEAU; MONTANA</t>
  </si>
  <si>
    <t>trdm</t>
  </si>
  <si>
    <t>TONGUE RIVER @ TONGUE RIVER DAM NR DECKER; MONTANA</t>
  </si>
  <si>
    <t>trfm</t>
  </si>
  <si>
    <t>TETON RIVER WEATHER STATION NEAR FARMINGTON; MONTANA</t>
  </si>
  <si>
    <t>trgt</t>
  </si>
  <si>
    <t>TWIN BUTTES DAM; TEXAS</t>
  </si>
  <si>
    <t>trlm</t>
  </si>
  <si>
    <t>TETON RIVER AT LOMA; MONTANA</t>
  </si>
  <si>
    <t>trmt</t>
  </si>
  <si>
    <t>TONGUE RIVER AT STATE LINE; NEAR DECKER; MONTANA</t>
  </si>
  <si>
    <t>trne</t>
  </si>
  <si>
    <t>SWANSON LAKE (TRENTON DAM); NEBRASKA</t>
  </si>
  <si>
    <t>tsne</t>
  </si>
  <si>
    <t>NORTH PLATTE RIVER PASSING TRI-STATE DAM; NEBRASKA</t>
  </si>
  <si>
    <t>turq</t>
  </si>
  <si>
    <t>TURQUOISE LAKE (SUGARLOAF DAM); COLORADO</t>
  </si>
  <si>
    <t>twiresco</t>
  </si>
  <si>
    <t>TWIN LAKES RESERVOIR; COLORADO</t>
  </si>
  <si>
    <t>twitunco</t>
  </si>
  <si>
    <t>TWIN LAKES TUNNEL; CO</t>
  </si>
  <si>
    <t>twnw</t>
  </si>
  <si>
    <t>TOWNSEND CREEK; WYOMING</t>
  </si>
  <si>
    <t>ubwy</t>
  </si>
  <si>
    <t>UPPER BLUFF CANAL; WYOMING</t>
  </si>
  <si>
    <t>uhwy</t>
  </si>
  <si>
    <t>UPPER HANOVER CANAL; WYOMING</t>
  </si>
  <si>
    <t>ulge</t>
  </si>
  <si>
    <t>MISSOURI RIVER AT ULM; MONTANA</t>
  </si>
  <si>
    <t>ulmt</t>
  </si>
  <si>
    <t>ULM MONTANA WEATHER STATION</t>
  </si>
  <si>
    <t>umhm</t>
  </si>
  <si>
    <t>UPPER MUSSELSHELL WEATHER STATION NR HARLOWTON; MT</t>
  </si>
  <si>
    <t>univerco</t>
  </si>
  <si>
    <t>UNIVERSITY CAMP; COLORADO</t>
  </si>
  <si>
    <t>uway</t>
  </si>
  <si>
    <t>UPPER WIND RIVER; A CANAL; AT HEADWORKS; WYOMING</t>
  </si>
  <si>
    <t>vamt</t>
  </si>
  <si>
    <t>SUN RIVER NEAR VAUGHN; MONTANA</t>
  </si>
  <si>
    <t>vimt</t>
  </si>
  <si>
    <t>MISSOURI RIVER AT VIRGELLE; MONTANA</t>
  </si>
  <si>
    <t>vlmt</t>
  </si>
  <si>
    <t>VALIER MONTANA WEATHER STATION</t>
  </si>
  <si>
    <t>vnmt</t>
  </si>
  <si>
    <t>BIG DRY CREEK AT VAN NORMAN; MONTANA</t>
  </si>
  <si>
    <t>waeh</t>
  </si>
  <si>
    <t>ELK CITY; OKLAHOMA WEATHER STATION</t>
  </si>
  <si>
    <t>waks</t>
  </si>
  <si>
    <t>WACONDA LAKE (GLEN ELDER DAM); KANSAS</t>
  </si>
  <si>
    <t>walm</t>
  </si>
  <si>
    <t>WALDRON; MONTANA</t>
  </si>
  <si>
    <t>walt</t>
  </si>
  <si>
    <t>LEFORS; TEXAS WEATHER STATION</t>
  </si>
  <si>
    <t>wasch</t>
  </si>
  <si>
    <t>WASHITA RIVER NEAR CHEYENNE; OKLAHOMA</t>
  </si>
  <si>
    <t>wbks</t>
  </si>
  <si>
    <t>WEBSTER RESERVOIR NEAR STOCKTON; KANSAS</t>
  </si>
  <si>
    <t>wbsy</t>
  </si>
  <si>
    <t>WEBBER SPRINGS; WYOMING</t>
  </si>
  <si>
    <t>wcfm</t>
  </si>
  <si>
    <t>WILLOW CREEK FEEDER CANAL; MONTANA</t>
  </si>
  <si>
    <t>wcne</t>
  </si>
  <si>
    <t>WINTERS CREEK RESERVOIR (SURFACE ELEV-INFLOW); NE</t>
  </si>
  <si>
    <t>wcr</t>
  </si>
  <si>
    <t>WILLOW CREEK RESERVOIR; 6 MILES NW AUGUSTA; MONTANA</t>
  </si>
  <si>
    <t>wddy</t>
  </si>
  <si>
    <t>WIND RIVER DIVERSION DAM; WYOMING</t>
  </si>
  <si>
    <t>wdwy</t>
  </si>
  <si>
    <t>WINCHESTER DITCH; WYOMING</t>
  </si>
  <si>
    <t>wgwy</t>
  </si>
  <si>
    <t>WEATHER STATION; GLENDO DAM; WYOMING</t>
  </si>
  <si>
    <t>whei</t>
  </si>
  <si>
    <t>WHITE ELEPHANT; IDAHO</t>
  </si>
  <si>
    <t>whtm</t>
  </si>
  <si>
    <t>WHITE MILL; MONTANA</t>
  </si>
  <si>
    <t>whwy</t>
  </si>
  <si>
    <t>NO. PLATTE RIVER BLW WHALEN DAM NR GUERNSEY; WYOMING</t>
  </si>
  <si>
    <t>wilcanco</t>
  </si>
  <si>
    <t>WILLOW CREEK PUMP CANAL; GRAND COUNTY; COLORADO</t>
  </si>
  <si>
    <t>wilcrkr</t>
  </si>
  <si>
    <t>WILLOW CREEK RESERVOIR; COLORADO (SCADA)</t>
  </si>
  <si>
    <t>wilresco</t>
  </si>
  <si>
    <t>WILLOW CREEK RESERVOIR; COLORADO</t>
  </si>
  <si>
    <t>wilwcrco</t>
  </si>
  <si>
    <t>WILLOW CREEK BELOW WILLOW CREEK RESERVOIR; CO (WCWC)</t>
  </si>
  <si>
    <t>winbypco</t>
  </si>
  <si>
    <t>WIND RIVER BYPASS AT EAST PORTAL NR ESTES PARK; CO</t>
  </si>
  <si>
    <t>windesco</t>
  </si>
  <si>
    <t>WIND RIVER NEAR ESTES PARK; CO</t>
  </si>
  <si>
    <t>winparco</t>
  </si>
  <si>
    <t>WINTER PARK; CO (CLIMATOLOGY)</t>
  </si>
  <si>
    <t>wism</t>
  </si>
  <si>
    <t>BIG HOLE RIVER BELOW BIG LAKE CREEK @ WISDOM; MT</t>
  </si>
  <si>
    <t>wldbasco</t>
  </si>
  <si>
    <t>WILD BASIN; COLORADO</t>
  </si>
  <si>
    <t>wllc</t>
  </si>
  <si>
    <t>WILLOW CREEK PASS; COLORADO</t>
  </si>
  <si>
    <t>wlvw</t>
  </si>
  <si>
    <t>WOLVERINE; WYOMING</t>
  </si>
  <si>
    <t>wmne</t>
  </si>
  <si>
    <t>WEATHER STATION AT MINATARE DAM; NEBRASKA</t>
  </si>
  <si>
    <t>wndy</t>
  </si>
  <si>
    <t>WINDY PEAK; WYOMING</t>
  </si>
  <si>
    <t>wodm</t>
  </si>
  <si>
    <t>WOOD CREEK; MONTANA</t>
  </si>
  <si>
    <t>wpmt</t>
  </si>
  <si>
    <t>MISSOURI RIVER NEAR WOLF POINT; MONTANA</t>
  </si>
  <si>
    <t>wpwy</t>
  </si>
  <si>
    <t>WEATHER STATION; PATHFINDER DAM; WYOMING</t>
  </si>
  <si>
    <t>wrbd</t>
  </si>
  <si>
    <t>WIND RIVER BELOW BOYSEN DAM; WYOMING</t>
  </si>
  <si>
    <t>wrch</t>
  </si>
  <si>
    <t>WIND RIVER NEAR CROWHEART; WYOMING</t>
  </si>
  <si>
    <t>wrdy</t>
  </si>
  <si>
    <t>WIND RIVER ABOVE RED CREEK NEAR DUBOIS; WY</t>
  </si>
  <si>
    <t>wreh</t>
  </si>
  <si>
    <t>ERICK; OKLAHOMA</t>
  </si>
  <si>
    <t>wrky</t>
  </si>
  <si>
    <t>WIND RIVER NEAR KINNEAR; WYOMING</t>
  </si>
  <si>
    <t>wrnd</t>
  </si>
  <si>
    <t>WIND RIVER NEAR DUBOIS; WYOMING</t>
  </si>
  <si>
    <t>wrne</t>
  </si>
  <si>
    <t>WINTERS CREEK RESERVOIR (OUTFLOW); NEBRASKA</t>
  </si>
  <si>
    <t>wrpc</t>
  </si>
  <si>
    <t>WILLOW PARK; COLORADO</t>
  </si>
  <si>
    <t>wrry</t>
  </si>
  <si>
    <t>WIND RIVER AT RIVERTON; WYOMING</t>
  </si>
  <si>
    <t>wrsh</t>
  </si>
  <si>
    <t>SWEETWATER CREEK NEAR SWEETWATER; OKLAHOMA</t>
  </si>
  <si>
    <t>wrsy</t>
  </si>
  <si>
    <t>WIND RIVER ABOVE BOYSEN NEAR SHOSHONI; WY</t>
  </si>
  <si>
    <t>wrwd</t>
  </si>
  <si>
    <t>WIND RIVER BELOW WYOMING DIVERSION DAM; WYOMING</t>
  </si>
  <si>
    <t>wrwt</t>
  </si>
  <si>
    <t>WHEELER; TEXAS</t>
  </si>
  <si>
    <t>wskm</t>
  </si>
  <si>
    <t>WHISKEY CREEK; MONTANA</t>
  </si>
  <si>
    <t>wsne</t>
  </si>
  <si>
    <t>WET SPOTTED TAIL DIVERSION INTO TRI-STATE CANAL; NE</t>
  </si>
  <si>
    <t>wssm</t>
  </si>
  <si>
    <t>WHITE SULPHUR SPRINGS WEATHER STATION; MONTANA</t>
  </si>
  <si>
    <t>wswy</t>
  </si>
  <si>
    <t>WEATHER STATION; SEMINOE DAM; WYOMING</t>
  </si>
  <si>
    <t>wurditco</t>
  </si>
  <si>
    <t>WURTZ DITCH NEAR TENNESSEE PASS; COLORADO</t>
  </si>
  <si>
    <t>wwwy</t>
  </si>
  <si>
    <t>WEATHER STATION; WHALEN DAM; WYOMING</t>
  </si>
  <si>
    <t>wycy</t>
  </si>
  <si>
    <t>WYOMING CANAL; 1/4 MILE BELOW DIVERSION DAM; WYOMING</t>
  </si>
  <si>
    <t>wysm</t>
  </si>
  <si>
    <t>WEST YELLOWSTONE; MONTANA</t>
  </si>
  <si>
    <t>youy</t>
  </si>
  <si>
    <t>YOUNTS PEAK; WYOMING</t>
  </si>
  <si>
    <t>yrcm</t>
  </si>
  <si>
    <t>YELLOWSTONE RIVER AT CORWIN SPRINGS; MONTANA</t>
  </si>
  <si>
    <t>yrfm</t>
  </si>
  <si>
    <t>YELLOWSTONE RIVER AT FORSYTH; MONTANA</t>
  </si>
  <si>
    <t>yrgm</t>
  </si>
  <si>
    <t>YELLOWSTONE RIVER AT GLENDIVE; MT</t>
  </si>
  <si>
    <t>yrlm</t>
  </si>
  <si>
    <t>YELLOWSTONE RIVER NEAR LIVINGSTON; MONTANA</t>
  </si>
  <si>
    <t>zirc</t>
  </si>
  <si>
    <t>ZIRKEL; COLORADO</t>
  </si>
  <si>
    <t>zurichmt</t>
  </si>
  <si>
    <t>ZURICH MAIN DIVERSION; MONTANA</t>
  </si>
  <si>
    <t>abei</t>
  </si>
  <si>
    <t>Aberdeen; Idaho Weather Station</t>
  </si>
  <si>
    <t>US/Mountain</t>
  </si>
  <si>
    <t>m</t>
  </si>
  <si>
    <t>agrimet_map</t>
  </si>
  <si>
    <t>noaa</t>
  </si>
  <si>
    <t>PN</t>
  </si>
  <si>
    <t>acki</t>
  </si>
  <si>
    <t>INL - Blackfoot;  Idaho  Weather Station</t>
  </si>
  <si>
    <t>afty</t>
  </si>
  <si>
    <t>Afton; Wyoming AgriMet Weather Station</t>
  </si>
  <si>
    <t>pnro</t>
  </si>
  <si>
    <t>agko</t>
  </si>
  <si>
    <t>Agency Lake Ranch; Oregon AgriMet Weather Station</t>
  </si>
  <si>
    <t>OR</t>
  </si>
  <si>
    <t>US/Pacific</t>
  </si>
  <si>
    <t>ahti</t>
  </si>
  <si>
    <t>Ashton; Idaho AgriMet Weather Station</t>
  </si>
  <si>
    <t>alpy</t>
  </si>
  <si>
    <t>Snake River above Reservoir near Alpine; WY</t>
  </si>
  <si>
    <t>ft</t>
  </si>
  <si>
    <t>Bill_KML</t>
  </si>
  <si>
    <t>usgs/pnro</t>
  </si>
  <si>
    <t>amf</t>
  </si>
  <si>
    <t>American Falls Reservoir at American Falls; ID</t>
  </si>
  <si>
    <t>cma_google</t>
  </si>
  <si>
    <t>amfi</t>
  </si>
  <si>
    <t>Snake River at Neeley; ID</t>
  </si>
  <si>
    <t>anvn</t>
  </si>
  <si>
    <t>DRI - Antelope Valley; Nevada Weather Station</t>
  </si>
  <si>
    <t>NV</t>
  </si>
  <si>
    <t>dri</t>
  </si>
  <si>
    <t>arao</t>
  </si>
  <si>
    <t>Aurora; Oregon AgriMet Weather Station</t>
  </si>
  <si>
    <t>bano</t>
  </si>
  <si>
    <t>Bandon; Oregon AgriMet Weather Station</t>
  </si>
  <si>
    <t>bato</t>
  </si>
  <si>
    <t>Beatty; Oregon AgriMet Weather Station</t>
  </si>
  <si>
    <t>bewo</t>
  </si>
  <si>
    <t>Bend; Oregon AgriMet Weather Station</t>
  </si>
  <si>
    <t>bfgi</t>
  </si>
  <si>
    <t>Boise Fairgrounds Weather Station</t>
  </si>
  <si>
    <t>bfti</t>
  </si>
  <si>
    <t>Snake River near Blackfoot; ID</t>
  </si>
  <si>
    <t>bkvo</t>
  </si>
  <si>
    <t>Baker Valley; Oregon Agrimet Weather Station</t>
  </si>
  <si>
    <t>blcu</t>
  </si>
  <si>
    <t>UCC - Blue Creek; Utah Weather Station</t>
  </si>
  <si>
    <t>UT</t>
  </si>
  <si>
    <t>ucc</t>
  </si>
  <si>
    <t>blou</t>
  </si>
  <si>
    <t>UCC - BearLake; Utah Weather Station</t>
  </si>
  <si>
    <t>bndw</t>
  </si>
  <si>
    <t>Bonneville Dam AgriMet; Washington AgriMet Weather Station</t>
  </si>
  <si>
    <t>WA</t>
  </si>
  <si>
    <t>boii</t>
  </si>
  <si>
    <t>Boise; Idaho AgriMet Weather Station</t>
  </si>
  <si>
    <t>brju</t>
  </si>
  <si>
    <t>UCC - Beryl Junction; Utah Weather Station</t>
  </si>
  <si>
    <t>brko</t>
  </si>
  <si>
    <t>Brookings; Oregon AgriMet Weather Station</t>
  </si>
  <si>
    <t>bucu</t>
  </si>
  <si>
    <t>UCC - Buckhorn; Utah Weather Station</t>
  </si>
  <si>
    <t>bvpc</t>
  </si>
  <si>
    <t>DRI - Bridgeport Valley; Nevada Weather Station</t>
  </si>
  <si>
    <t>cdai</t>
  </si>
  <si>
    <t>Coeur d'Alene Fairgrounds; Idaho Weather Station</t>
  </si>
  <si>
    <t>cedc</t>
  </si>
  <si>
    <t>Cedarville; California AgriMet Weather Station</t>
  </si>
  <si>
    <t>CA</t>
  </si>
  <si>
    <t>cedu</t>
  </si>
  <si>
    <t>UCC - Cedar City; Utah Weather Station</t>
  </si>
  <si>
    <t>chaw</t>
  </si>
  <si>
    <t>Chamokane; Washington AgriMet Weather Station</t>
  </si>
  <si>
    <t>chvo</t>
  </si>
  <si>
    <t>Christmas Valley; Oregon AgriMet Weather Station</t>
  </si>
  <si>
    <t>cjdw</t>
  </si>
  <si>
    <t>Chief Joseph Dam; Washington AgriMet Weather Station</t>
  </si>
  <si>
    <t>ckvy</t>
  </si>
  <si>
    <t>Cokeville; Wyoming AgriMet Weather Station</t>
  </si>
  <si>
    <t>covm</t>
  </si>
  <si>
    <t>Corvallis; Montana AgriMet Weather Station</t>
  </si>
  <si>
    <t>crnu</t>
  </si>
  <si>
    <t>UCC - Corinne; Utah Weather Station</t>
  </si>
  <si>
    <t>crsm</t>
  </si>
  <si>
    <t>Creston; Montana AgriMet Weather Station</t>
  </si>
  <si>
    <t>crvo</t>
  </si>
  <si>
    <t>Corvallis; Oregon AgriMet Weather Station</t>
  </si>
  <si>
    <t>csdu</t>
  </si>
  <si>
    <t>Castle Dale; Utah Weather Station</t>
  </si>
  <si>
    <t>csvu</t>
  </si>
  <si>
    <t>Castle Valley; Utah AgriMet Weather Station</t>
  </si>
  <si>
    <t>cvan</t>
  </si>
  <si>
    <t>DRI - Carson Valley; Nevada Weather Station</t>
  </si>
  <si>
    <t>defo</t>
  </si>
  <si>
    <t>Dee Flat; Oregon AgriMet Weather Station</t>
  </si>
  <si>
    <t>deni</t>
  </si>
  <si>
    <t>Dworshak - Dent Acres; Idaho AgriMet Weather Station</t>
  </si>
  <si>
    <t>drfu</t>
  </si>
  <si>
    <t>UCC - Drainage Farm; Utah Weather Station</t>
  </si>
  <si>
    <t>drlm</t>
  </si>
  <si>
    <t>Deer Lodge; Montana AgriMet Weather Station</t>
  </si>
  <si>
    <t>drpw</t>
  </si>
  <si>
    <t>Deer Park; Washington Weather Station</t>
  </si>
  <si>
    <t>dtro</t>
  </si>
  <si>
    <t>Detroit Lake; Oregon AgriMet Weather Station</t>
  </si>
  <si>
    <t>ducu</t>
  </si>
  <si>
    <t>Duchesne; Utah AgriMet Weather Station</t>
  </si>
  <si>
    <t>dwni</t>
  </si>
  <si>
    <t>Downey; Idaho Weather Station</t>
  </si>
  <si>
    <t>ebri</t>
  </si>
  <si>
    <t>INL - Material Fuels Complex; Idaho</t>
  </si>
  <si>
    <t>echo</t>
  </si>
  <si>
    <t>Echo; Oregon AgriMet Weather Station</t>
  </si>
  <si>
    <t>efhw</t>
  </si>
  <si>
    <t>Entiat Fish Hatchery; Washington Weather Station</t>
  </si>
  <si>
    <t>elmu</t>
  </si>
  <si>
    <t>Elmo; Utah Weather Station</t>
  </si>
  <si>
    <t>eurn</t>
  </si>
  <si>
    <t xml:space="preserve">Eureka; Nevada AgriMet Weather Station </t>
  </si>
  <si>
    <t>evfu</t>
  </si>
  <si>
    <t>UCC - Evan's Farm; Utah Weather Station</t>
  </si>
  <si>
    <t>evty</t>
  </si>
  <si>
    <t>Evanston; Wyoming AgriMet Weather Station</t>
  </si>
  <si>
    <t>fafi</t>
  </si>
  <si>
    <t xml:space="preserve">Fairfield; Idaho AgriMet Weather Station  </t>
  </si>
  <si>
    <t>faln</t>
  </si>
  <si>
    <t>Fallon; Nevada AgriMet Weather Station</t>
  </si>
  <si>
    <t>flgy</t>
  </si>
  <si>
    <t>Snake River near Flagg Ranch; WY</t>
  </si>
  <si>
    <t>flou</t>
  </si>
  <si>
    <t>UCC - Flowell; Utah Weather Station</t>
  </si>
  <si>
    <t>fogo</t>
  </si>
  <si>
    <t>Forest Grove; Oregon AgriMet Weather Station</t>
  </si>
  <si>
    <t>frnu</t>
  </si>
  <si>
    <t>Ferron; Utah Weather Station</t>
  </si>
  <si>
    <t>fthi</t>
  </si>
  <si>
    <t xml:space="preserve">Fort Hall; Idaho AgriMet Weather Station </t>
  </si>
  <si>
    <t>gcdw</t>
  </si>
  <si>
    <t>Grand Coulee Dam; Washington AgriMet Weather Station</t>
  </si>
  <si>
    <t>gdvi</t>
  </si>
  <si>
    <t>Grand View; Idaho AgriMet Weather Station</t>
  </si>
  <si>
    <t>gerw</t>
  </si>
  <si>
    <t>George; Washington AgriMet Weather Station</t>
  </si>
  <si>
    <t>gfri</t>
  </si>
  <si>
    <t>Glenns Ferry; Idaho AgriMet Weather Station</t>
  </si>
  <si>
    <t>golw</t>
  </si>
  <si>
    <t>Goldendale; Washington AgriMet Weather Station</t>
  </si>
  <si>
    <t>grei</t>
  </si>
  <si>
    <t>Grace; Idaho AgriMet Weather Station</t>
  </si>
  <si>
    <t>grey</t>
  </si>
  <si>
    <t>Greys River above Reservoir near Alpine; WY</t>
  </si>
  <si>
    <t>grs</t>
  </si>
  <si>
    <t>Grassy Lake near Moran; WY</t>
  </si>
  <si>
    <t>grtu</t>
  </si>
  <si>
    <t>Grantsville; Utah AgriMet Weather Station</t>
  </si>
  <si>
    <t>hami</t>
  </si>
  <si>
    <t>INL - Hamer;  Idaho Weather Station</t>
  </si>
  <si>
    <t>heii</t>
  </si>
  <si>
    <t>Snake River near Heise; ID</t>
  </si>
  <si>
    <t>hen</t>
  </si>
  <si>
    <t>Henrys Lake Dam on Henrys Fork nr. Lake; ID</t>
  </si>
  <si>
    <t>heni</t>
  </si>
  <si>
    <t>Henrys Fork near Lake; ID</t>
  </si>
  <si>
    <t>hero</t>
  </si>
  <si>
    <t>Hermiston; Oregon AgriMet Weather Station</t>
  </si>
  <si>
    <t>hntu</t>
  </si>
  <si>
    <t>Huntington; Utah Weather Station</t>
  </si>
  <si>
    <t>hoxo</t>
  </si>
  <si>
    <t>Hood River; Oregon AgriMet Weather Station</t>
  </si>
  <si>
    <t>hrfo</t>
  </si>
  <si>
    <t>Hereford; Oregon AgriMet Weather Station</t>
  </si>
  <si>
    <t>hrhw</t>
  </si>
  <si>
    <t>Harrah; Washington AgriMet Weather Station</t>
  </si>
  <si>
    <t>hrmo</t>
  </si>
  <si>
    <t>Hermiston R &amp; E Center; Oregon AgriMet Weather Station</t>
  </si>
  <si>
    <t>huan</t>
  </si>
  <si>
    <t>DRI - Hualapai Flat; Nevada Weather Station</t>
  </si>
  <si>
    <t>ichi</t>
  </si>
  <si>
    <t>INL - Richfield;  Idaho Weather Station</t>
  </si>
  <si>
    <t>ifai</t>
  </si>
  <si>
    <t>INL - Idaho Falls;  Idaho Weather Station</t>
  </si>
  <si>
    <t>igri</t>
  </si>
  <si>
    <t>INL - INTEC/Grid 3; Idaho</t>
  </si>
  <si>
    <t>imbo</t>
  </si>
  <si>
    <t>Imbler; Oregon AgriMet Weather Station</t>
  </si>
  <si>
    <t>isl</t>
  </si>
  <si>
    <t>Island Park Dam and Reservoir; ID</t>
  </si>
  <si>
    <t>isli</t>
  </si>
  <si>
    <t>Henrys Fork near Island Park; ID</t>
  </si>
  <si>
    <t>jck</t>
  </si>
  <si>
    <t>Jackson Lake at Dam on Snake River near Moran; WY</t>
  </si>
  <si>
    <t>jksy</t>
  </si>
  <si>
    <t>Snake River below Flat Creek near Jackson; WY</t>
  </si>
  <si>
    <t>kflo</t>
  </si>
  <si>
    <t>Klamath Falls; Oregon AgriMet Weather Station</t>
  </si>
  <si>
    <t>kflw</t>
  </si>
  <si>
    <t>Kettle Falls; Washington AgriMet Weather Station</t>
  </si>
  <si>
    <t>ktbi</t>
  </si>
  <si>
    <t>Kettle Butte; Idaho Weather Station</t>
  </si>
  <si>
    <t>lako</t>
  </si>
  <si>
    <t>Lakeview; Oregon AgriMet Weather Station</t>
  </si>
  <si>
    <t>laku</t>
  </si>
  <si>
    <t>UCC - Laketown ; Utah Weather Station</t>
  </si>
  <si>
    <t>lbrw</t>
  </si>
  <si>
    <t>Lake Bryan - Rice Bar; Washington AgriMet Weather Station</t>
  </si>
  <si>
    <t>legw</t>
  </si>
  <si>
    <t>Legrow; Washington AgriMet Weather Station</t>
  </si>
  <si>
    <t>lewu</t>
  </si>
  <si>
    <t>UCC - Lewiston; Utah Weather Station</t>
  </si>
  <si>
    <t>lggu</t>
  </si>
  <si>
    <t>UCC - Logan Golf; Utah Weather Station</t>
  </si>
  <si>
    <t>libw</t>
  </si>
  <si>
    <t>Liberty Lake; Washington Weather Station</t>
  </si>
  <si>
    <t>lidw</t>
  </si>
  <si>
    <t>Lind; Washington AgriMet Weather Station</t>
  </si>
  <si>
    <t>lofi</t>
  </si>
  <si>
    <t>INL - Specific Manufacturing Capability; Idaho</t>
  </si>
  <si>
    <t>lori</t>
  </si>
  <si>
    <t>Snake River at Lorenzo; ID</t>
  </si>
  <si>
    <t>loro</t>
  </si>
  <si>
    <t>Lorella; Oregon AgriMet Weather Station</t>
  </si>
  <si>
    <t>lwoi</t>
  </si>
  <si>
    <t>Little Wood River above High Five Creek; ID</t>
  </si>
  <si>
    <t>mali</t>
  </si>
  <si>
    <t>Malta; Idaho AgriMet Weather Station</t>
  </si>
  <si>
    <t>masw</t>
  </si>
  <si>
    <t>Manson; Washington AgriMet Weather Station</t>
  </si>
  <si>
    <t>mdeo</t>
  </si>
  <si>
    <t>Moody Farms East Satellite; Oregon Weather Station</t>
  </si>
  <si>
    <t>mdfo</t>
  </si>
  <si>
    <t>Medford; Oregon AgriMet Weather Station</t>
  </si>
  <si>
    <t>mdki</t>
  </si>
  <si>
    <t>INL - Minidoka;  Idaho Weather Station</t>
  </si>
  <si>
    <t>mdno</t>
  </si>
  <si>
    <t>Moody Farms North Satellite; Oregon Weather Station</t>
  </si>
  <si>
    <t>mdso</t>
  </si>
  <si>
    <t>Moody Farms South Satellite; Oregon Weather Station</t>
  </si>
  <si>
    <t>mdto</t>
  </si>
  <si>
    <t>Moody Farms West Satellite; Oregon Weather Station</t>
  </si>
  <si>
    <t>mdxo</t>
  </si>
  <si>
    <t>Moody Farms Control Station; Oregon Weather Station</t>
  </si>
  <si>
    <t>mil</t>
  </si>
  <si>
    <t>Milner Dam and Reservoir; Idaho</t>
  </si>
  <si>
    <t>mili</t>
  </si>
  <si>
    <t>Snake River at Milner; Idaho</t>
  </si>
  <si>
    <t>min</t>
  </si>
  <si>
    <t>Minidoka Dam and Lake Walcott; ID</t>
  </si>
  <si>
    <t>mini</t>
  </si>
  <si>
    <t>Snake River near Minidoka; ID</t>
  </si>
  <si>
    <t>mnpi</t>
  </si>
  <si>
    <t>Montpelier; Idaho Weather Station</t>
  </si>
  <si>
    <t>mnru</t>
  </si>
  <si>
    <t>Monroe; Utah AgriMet Weather Station</t>
  </si>
  <si>
    <t>mnti</t>
  </si>
  <si>
    <t>Monteview; Idaho Weather Station</t>
  </si>
  <si>
    <t>moan</t>
  </si>
  <si>
    <t>DRI - Moapa Valley; Nevada Weather Station</t>
  </si>
  <si>
    <t>mrso</t>
  </si>
  <si>
    <t>Madras; Oregon AgriMet Weather Station</t>
  </si>
  <si>
    <t>msvn</t>
  </si>
  <si>
    <t>DRI - Mason Valley WMA; Nevada Weather Station</t>
  </si>
  <si>
    <t>muru</t>
  </si>
  <si>
    <t>UCC - Murray; Utah Weather Station</t>
  </si>
  <si>
    <t>mwso</t>
  </si>
  <si>
    <t>Middle Warm Springs; Oregon Weather Station</t>
  </si>
  <si>
    <t>nepu</t>
  </si>
  <si>
    <t>UCC - Nephi; Utah Weather Station</t>
  </si>
  <si>
    <t>nmpi</t>
  </si>
  <si>
    <t>Nampa; Idaho AgriMet Weather Station</t>
  </si>
  <si>
    <t>nsvn</t>
  </si>
  <si>
    <t>DRI - North Spring Valley; Nevada Weather Station</t>
  </si>
  <si>
    <t>odsw</t>
  </si>
  <si>
    <t>Odessa; Washington AgriMet Weather Station</t>
  </si>
  <si>
    <t>omaw</t>
  </si>
  <si>
    <t>Omak; Washington AgriMet Weather Station</t>
  </si>
  <si>
    <t>onto</t>
  </si>
  <si>
    <t>Ontario; Oregon AgriMet Weather Station</t>
  </si>
  <si>
    <t>osgi</t>
  </si>
  <si>
    <t>Osgood; Idaho AgriMet Weather Station</t>
  </si>
  <si>
    <t>owei</t>
  </si>
  <si>
    <t>INL - Howe; Idaho Weather Station</t>
  </si>
  <si>
    <t>pal</t>
  </si>
  <si>
    <t>Palisades Reservoir near Irwin; ID</t>
  </si>
  <si>
    <t>pali</t>
  </si>
  <si>
    <t>Snake River near Irwin; ID</t>
  </si>
  <si>
    <t>panu</t>
  </si>
  <si>
    <t>UCC - Panguitch; Utah Weather Station</t>
  </si>
  <si>
    <t>paro</t>
  </si>
  <si>
    <t>Parkdale; Oregon AgriMet Weather Station</t>
  </si>
  <si>
    <t>paru</t>
  </si>
  <si>
    <t>UCC - Parowan; Utah Weather Station</t>
  </si>
  <si>
    <t>pcyo</t>
  </si>
  <si>
    <t>Prairie City; Oregon AgriMet Weather Station</t>
  </si>
  <si>
    <t>pelu</t>
  </si>
  <si>
    <t>Pelican Lake; Utah Weather Station</t>
  </si>
  <si>
    <t>pici</t>
  </si>
  <si>
    <t>Picabo; Idaho AgriMet Weather Station</t>
  </si>
  <si>
    <t>plvu</t>
  </si>
  <si>
    <t>Pleasant Valley; Utah Weather Station</t>
  </si>
  <si>
    <t>pmai</t>
  </si>
  <si>
    <t>Parma; Idaho AgriMet Weather Station</t>
  </si>
  <si>
    <t>pngo</t>
  </si>
  <si>
    <t>Pine Grove; Oregon AgriMet Weather Station</t>
  </si>
  <si>
    <t>pobo</t>
  </si>
  <si>
    <t>Powell Butte; Oregon AgriMet Weather Station</t>
  </si>
  <si>
    <t>psfi</t>
  </si>
  <si>
    <t>Post Falls; Idaho Weather Station</t>
  </si>
  <si>
    <t>psti</t>
  </si>
  <si>
    <t>Preston; Idaho Weather Station</t>
  </si>
  <si>
    <t>pvan</t>
  </si>
  <si>
    <t>DRI - Paradise Valley; Nevada Weather Station</t>
  </si>
  <si>
    <t>pwln</t>
  </si>
  <si>
    <t>DRI - Pahranagat NWR; Nevada Weather Station</t>
  </si>
  <si>
    <t>rdbm</t>
  </si>
  <si>
    <t>Round Butte; Montana AgriMet Weather Station</t>
  </si>
  <si>
    <t>rdhu</t>
  </si>
  <si>
    <t>UCC - Randolph; Utah Weather Station</t>
  </si>
  <si>
    <t>rexi</t>
  </si>
  <si>
    <t>Henrys Fork near Rexburg; ID</t>
  </si>
  <si>
    <t>rgbi</t>
  </si>
  <si>
    <t>Rigby; Idaho AgriMet Weather Station</t>
  </si>
  <si>
    <t>rir</t>
  </si>
  <si>
    <t>Ririe Dam and Lake near Ririe; ID</t>
  </si>
  <si>
    <t>riri</t>
  </si>
  <si>
    <t>Willow Creek below Ririe Dam (comp from RIR)</t>
  </si>
  <si>
    <t>robi</t>
  </si>
  <si>
    <t>INL - Roberts;  Idaho Weather Station</t>
  </si>
  <si>
    <t>rogn</t>
  </si>
  <si>
    <t>DRI - Rogers Spring; Nevada Weather Station</t>
  </si>
  <si>
    <t>rpti</t>
  </si>
  <si>
    <t>Rupert; Idaho AgriMet Weather Station</t>
  </si>
  <si>
    <t>rrci</t>
  </si>
  <si>
    <t>INL - Arco;  Idaho Weather Station</t>
  </si>
  <si>
    <t>rrii</t>
  </si>
  <si>
    <t>Ririe; Idaho AgriMet Weather Station</t>
  </si>
  <si>
    <t>rthi</t>
  </si>
  <si>
    <t>Rathdrum Prairie; Idaho AgriMet Weather Station</t>
  </si>
  <si>
    <t>rxgi</t>
  </si>
  <si>
    <t xml:space="preserve">Rexburg; Idaho AgriMet Weather Station </t>
  </si>
  <si>
    <t>saly</t>
  </si>
  <si>
    <t>Salt River above Reservoir near Etna; WY</t>
  </si>
  <si>
    <t>sbmw</t>
  </si>
  <si>
    <t>Seven Bays Marina; Washington AgriMet Weather Station</t>
  </si>
  <si>
    <t>scpu</t>
  </si>
  <si>
    <t>Scipio; Utah AgriMet Weather Station</t>
  </si>
  <si>
    <t>shli</t>
  </si>
  <si>
    <t>Shelley; Idaho Weather Station</t>
  </si>
  <si>
    <t>shyi</t>
  </si>
  <si>
    <t>Snake River near Shelley; ID</t>
  </si>
  <si>
    <t>sifi</t>
  </si>
  <si>
    <t>Snake River near Idaho Falls; ID</t>
  </si>
  <si>
    <t>usgs</t>
  </si>
  <si>
    <t>sigm</t>
  </si>
  <si>
    <t>Saint Ignatius; Montana AgriMet Weather Station</t>
  </si>
  <si>
    <t>silw</t>
  </si>
  <si>
    <t>Silcott Island; Washington AgriMet Weather Station</t>
  </si>
  <si>
    <t>slwi</t>
  </si>
  <si>
    <t>Silverwood WWTP Athol; Idaho Weather Station</t>
  </si>
  <si>
    <t>smvn</t>
  </si>
  <si>
    <t>DRI - Smith Valley; Nevada Weather Station</t>
  </si>
  <si>
    <t>snai</t>
  </si>
  <si>
    <t>Snake River at Blackfoot; ID</t>
  </si>
  <si>
    <t>snkn</t>
  </si>
  <si>
    <t>DRI - Snake Valley; Nevada Weather Station</t>
  </si>
  <si>
    <t>snsu</t>
  </si>
  <si>
    <t>UCC - Snowville South; Utah Weather Station</t>
  </si>
  <si>
    <t>snwu</t>
  </si>
  <si>
    <t>UCC - Snowville (West); Utah Weather Station</t>
  </si>
  <si>
    <t>span</t>
  </si>
  <si>
    <t>DRI - Truckee Meadows; Nevada Weather Station</t>
  </si>
  <si>
    <t>spfu</t>
  </si>
  <si>
    <t>UCC - Spanish Fork; Utah Weather Station</t>
  </si>
  <si>
    <t>spli</t>
  </si>
  <si>
    <t>Spirit Lake; Washington Weather Station</t>
  </si>
  <si>
    <t>spvu</t>
  </si>
  <si>
    <t>San Pete Valley; Utah AgriMet Weather Station</t>
  </si>
  <si>
    <t>ssvn</t>
  </si>
  <si>
    <t>DRI - Sand Spring Valley; Nevada Weather Station</t>
  </si>
  <si>
    <t>stvn</t>
  </si>
  <si>
    <t>DRI - Steptoe Valley North; Nevada Weather Station</t>
  </si>
  <si>
    <t>sugi</t>
  </si>
  <si>
    <t>INL - Sugar City;  Idaho Weather Station</t>
  </si>
  <si>
    <t>sutu</t>
  </si>
  <si>
    <t>Sutherland; Utah  AgriMet Weather Station</t>
  </si>
  <si>
    <t>swmn</t>
  </si>
  <si>
    <t>DRI - Steptoe Valley WMA; Nevada Weather Station</t>
  </si>
  <si>
    <t>tabi</t>
  </si>
  <si>
    <t>INL - Taber;  Idaho Weather Station</t>
  </si>
  <si>
    <t>teai</t>
  </si>
  <si>
    <t>Teton River near St. Anthony; ID</t>
  </si>
  <si>
    <t>teri</t>
  </si>
  <si>
    <t>INL - Terreton;  Idaho Weather Station</t>
  </si>
  <si>
    <t>tfgi</t>
  </si>
  <si>
    <t>Twin Falls Fairgrounds; Filer Idaho</t>
  </si>
  <si>
    <t>trmu</t>
  </si>
  <si>
    <t>UCC - Tremonton; Utah Weather Station</t>
  </si>
  <si>
    <t>trpu</t>
  </si>
  <si>
    <t>Tropic; Utah AgriMet Weather Station</t>
  </si>
  <si>
    <t>trti</t>
  </si>
  <si>
    <t>Terraton; Idaho AgriMet Weather Station</t>
  </si>
  <si>
    <t>twfi</t>
  </si>
  <si>
    <t>Twin Falls (Kimberly) Idaho AgriMet Weather Station  7E</t>
  </si>
  <si>
    <t>vecu</t>
  </si>
  <si>
    <t>UCC - Venice; Utah Weather Station</t>
  </si>
  <si>
    <t>wod</t>
  </si>
  <si>
    <t>Little Wood Dam and Reservoir near Carey; ID</t>
  </si>
  <si>
    <t>wodi</t>
  </si>
  <si>
    <t>Little Wood River near Carey; ID</t>
  </si>
  <si>
    <t>wrdo</t>
  </si>
  <si>
    <t>Worden; Oregon AgriMet Weather Station</t>
  </si>
  <si>
    <t>alamoreservoir</t>
  </si>
  <si>
    <t>Alamo Reservoir</t>
  </si>
  <si>
    <t>AZ</t>
  </si>
  <si>
    <t>LC</t>
  </si>
  <si>
    <t>allamericancanalnearimperialdam</t>
  </si>
  <si>
    <t>All-American Canal near Imperial Dam</t>
  </si>
  <si>
    <t>basicmanagementinc</t>
  </si>
  <si>
    <t>Basic Management Inc.</t>
  </si>
  <si>
    <t>bbblc</t>
  </si>
  <si>
    <t>Colorado River Below Big Bend</t>
  </si>
  <si>
    <t>biblc</t>
  </si>
  <si>
    <t>Colorado River Below Interstate Bridge</t>
  </si>
  <si>
    <t>bigbendwaterdistrict</t>
  </si>
  <si>
    <t>Big Bend Water District</t>
  </si>
  <si>
    <t>billwilliamsriveratlakehavasu</t>
  </si>
  <si>
    <t>Bill Williams River at Lake Havasu</t>
  </si>
  <si>
    <t>bmplc</t>
  </si>
  <si>
    <t>Colorado River Below McIntyre Park</t>
  </si>
  <si>
    <t>bnblc</t>
  </si>
  <si>
    <t>Colorado River Below Needles Bridge</t>
  </si>
  <si>
    <t>boblc</t>
  </si>
  <si>
    <t>Colorado River Below Oxbow Bridge</t>
  </si>
  <si>
    <t>bouldercanyonproject</t>
  </si>
  <si>
    <t>Boulder Canyon Project</t>
  </si>
  <si>
    <t>brookeconsolidatedwaterutilities</t>
  </si>
  <si>
    <t>Brooke - Consolidated Water Utilities</t>
  </si>
  <si>
    <t>bullheadcity</t>
  </si>
  <si>
    <t>Bullhead City</t>
  </si>
  <si>
    <t>camille</t>
  </si>
  <si>
    <t>Camille; Alec Jr.</t>
  </si>
  <si>
    <t>cap</t>
  </si>
  <si>
    <t>CAP Canal Export</t>
  </si>
  <si>
    <t>cibolanationalwildliferefuge</t>
  </si>
  <si>
    <t>Cibola National Wildlife Refuge</t>
  </si>
  <si>
    <t>cibolavalleyirrigationdistrict</t>
  </si>
  <si>
    <t>Cibola Valley Irrigation District</t>
  </si>
  <si>
    <t>cityofblythe</t>
  </si>
  <si>
    <t>City of Blythe</t>
  </si>
  <si>
    <t>cityofbouldercityathooverdam</t>
  </si>
  <si>
    <t>City of Boulder City at Hoover Dam</t>
  </si>
  <si>
    <t>cityofhendersonsaddleisland</t>
  </si>
  <si>
    <t>City of Henderson - Saddle Island</t>
  </si>
  <si>
    <t>cityofneedles</t>
  </si>
  <si>
    <t>City of Needles</t>
  </si>
  <si>
    <t>cityofnorthlasvegas</t>
  </si>
  <si>
    <t>City of North Las Vegas</t>
  </si>
  <si>
    <t>cityofwinterhaven</t>
  </si>
  <si>
    <t>City of Winterhaven</t>
  </si>
  <si>
    <t>cityofyuma</t>
  </si>
  <si>
    <t>City of Yuma</t>
  </si>
  <si>
    <t>clc</t>
  </si>
  <si>
    <t>Colorado River at Cibola Gage</t>
  </si>
  <si>
    <t>coachellavalleywaterdistrict</t>
  </si>
  <si>
    <t>Coachella Valley Water District</t>
  </si>
  <si>
    <t>cocopahindianreservation</t>
  </si>
  <si>
    <t>Cocopah Indian Reservation</t>
  </si>
  <si>
    <t>coloradoriveraboveimperialdam</t>
  </si>
  <si>
    <t>Colorado River above Imperial Dam</t>
  </si>
  <si>
    <t>coloradoriveratleesferry</t>
  </si>
  <si>
    <t>Colorado River at Lees Ferry</t>
  </si>
  <si>
    <t>coloradoriverbelowdavisdam</t>
  </si>
  <si>
    <t>Colorado River below Davis Dam</t>
  </si>
  <si>
    <t>coloradoriverbelowhooverdam</t>
  </si>
  <si>
    <t>Colorado River below Hoover Dam (USGS)</t>
  </si>
  <si>
    <t>coloradoriverbelowlagunadam</t>
  </si>
  <si>
    <t>Colorado River below Laguna Dam</t>
  </si>
  <si>
    <t>coloradoriverbelowyumamaincanalwastewayusgs</t>
  </si>
  <si>
    <t>Colorado River below Yuma Main Canal Wasteway - Yuma Gage - USGS</t>
  </si>
  <si>
    <t>coloradoriverindianreservationaz</t>
  </si>
  <si>
    <t>Colorado River Indian Reservation; Arizona</t>
  </si>
  <si>
    <t>coloradoriverindianreservationca</t>
  </si>
  <si>
    <t>Colorado River Indian Reservation; California</t>
  </si>
  <si>
    <t>coloradoriverneargrandcanyon</t>
  </si>
  <si>
    <t>Colorado River near Grand Canyon; AZ</t>
  </si>
  <si>
    <t>cratdiamondcreek</t>
  </si>
  <si>
    <t>Colorado River above Diamond Creek near Peach Spring; AZ</t>
  </si>
  <si>
    <t>crirmaincanal</t>
  </si>
  <si>
    <t>CRIR Main Canal</t>
  </si>
  <si>
    <t>ddmlc</t>
  </si>
  <si>
    <t>Lake Mohave</t>
  </si>
  <si>
    <t>desertlawnmemorial</t>
  </si>
  <si>
    <t>Desert Lawn Memorial</t>
  </si>
  <si>
    <t>eastblythecountywaterdistrict</t>
  </si>
  <si>
    <t>East Blythe County Water District</t>
  </si>
  <si>
    <t>ehrenburgimprovementassociation</t>
  </si>
  <si>
    <t>Ehrenburg Improvement Association</t>
  </si>
  <si>
    <t>fmtbs</t>
  </si>
  <si>
    <t>Fort Mojave Tribe-Barrackman</t>
  </si>
  <si>
    <t>fmtc1</t>
  </si>
  <si>
    <t>Fort Mojave Tribe-California 1</t>
  </si>
  <si>
    <t>fmtc2n</t>
  </si>
  <si>
    <t>Fort Mojave Tribe-California 2 (North)</t>
  </si>
  <si>
    <t>fmtc2s</t>
  </si>
  <si>
    <t>Fort Mojave Tribe-California 2 (South)</t>
  </si>
  <si>
    <t>fmtc2w</t>
  </si>
  <si>
    <t>Fort Mojave Tribe-California 2 (West)</t>
  </si>
  <si>
    <t>fmtcs</t>
  </si>
  <si>
    <t>Fort Mojave Tribe-Cimmaron</t>
  </si>
  <si>
    <t>fmtnc</t>
  </si>
  <si>
    <t>Fort Mojave Tribe-North Casino</t>
  </si>
  <si>
    <t>fmtncnec</t>
  </si>
  <si>
    <t>Fort Mojave Tribe-North Casino (North Event Center)</t>
  </si>
  <si>
    <t>fmtnv</t>
  </si>
  <si>
    <t>Fort Mojave Tribe-Nevada</t>
  </si>
  <si>
    <t>fmtrsftmve</t>
  </si>
  <si>
    <t>Fort Mojave Tribe-Refuge (Fort Mojave Tribe)</t>
  </si>
  <si>
    <t>fmtrsvdslc</t>
  </si>
  <si>
    <t>Fort Mojave Tribe-Refuge (Vanderslice Farms)</t>
  </si>
  <si>
    <t>fmtsc</t>
  </si>
  <si>
    <t>Fort Mojave Tribe-South Casino</t>
  </si>
  <si>
    <t>fmtws</t>
  </si>
  <si>
    <t>Fort Mojave Tribe-Willow</t>
  </si>
  <si>
    <t>fortmojaveindianreservationaz</t>
  </si>
  <si>
    <t>Fort Mojave Indian Reservation (AZ)</t>
  </si>
  <si>
    <t>fortmojaveindianreservationca</t>
  </si>
  <si>
    <t>Fort Mojave Indian Reservation (CA)</t>
  </si>
  <si>
    <t>fortyumaindianreservation</t>
  </si>
  <si>
    <t>Fort Yuma Indian Reservation; CA</t>
  </si>
  <si>
    <t>fwsfd</t>
  </si>
  <si>
    <t>U.S. Fish and Wildlife Service Topock Refuge-Farm Ditch</t>
  </si>
  <si>
    <t>fwsic</t>
  </si>
  <si>
    <t>U.S. Fish and Wildlife Service Topock Refuge-Inlet Canal</t>
  </si>
  <si>
    <t>fwssd</t>
  </si>
  <si>
    <t>U.S. Fish and Wildlife Service Topock Refuge-South Dike</t>
  </si>
  <si>
    <t>gialgravitymaincanal</t>
  </si>
  <si>
    <t>Gial Gravity Main Canal</t>
  </si>
  <si>
    <t>gilagravitymaincanalatimperialdam</t>
  </si>
  <si>
    <t>Gila Gravity Main Canal at Imperial Dam</t>
  </si>
  <si>
    <t>gilamonsterfarms</t>
  </si>
  <si>
    <t>Gila Monster Farms</t>
  </si>
  <si>
    <t>gilariver@64eastdateland</t>
  </si>
  <si>
    <t>Gila River @ 64 East - Dateland</t>
  </si>
  <si>
    <t>gilariveratdome</t>
  </si>
  <si>
    <t>Gila River at Dome</t>
  </si>
  <si>
    <t>gilariveratpaintedrock</t>
  </si>
  <si>
    <t>Gila River at Painted Rock</t>
  </si>
  <si>
    <t>goldenshoreswaterconservationdistrict</t>
  </si>
  <si>
    <t>Golden Shores Water Conservation District</t>
  </si>
  <si>
    <t>gwwlc</t>
  </si>
  <si>
    <t>CRIR Return Gardner Wasteway</t>
  </si>
  <si>
    <t>havasunationalwildliferefuge</t>
  </si>
  <si>
    <t>Havasu National Wildlife Refuge</t>
  </si>
  <si>
    <t>hdmlc</t>
  </si>
  <si>
    <t>Lake Mead</t>
  </si>
  <si>
    <t>hrlc</t>
  </si>
  <si>
    <t>Headgate Rock - CRIR Canal</t>
  </si>
  <si>
    <t>iidpluscoachella</t>
  </si>
  <si>
    <t>Imperial Irrigation District + Coachella Valley Water District</t>
  </si>
  <si>
    <t>imperialirrigationdistrict</t>
  </si>
  <si>
    <t>Imperial Irrigation District</t>
  </si>
  <si>
    <t>imperialnationalwildliferefuge</t>
  </si>
  <si>
    <t>Imperial National Wildlife Refuge</t>
  </si>
  <si>
    <t>imperialreservoir</t>
  </si>
  <si>
    <t>Imperial Reservoir</t>
  </si>
  <si>
    <t>lakehavasucityirrigationanddrainage</t>
  </si>
  <si>
    <t>Lake Havasu City - Irrigation and Drainage</t>
  </si>
  <si>
    <t>lasvegasvalleywaterdistrict</t>
  </si>
  <si>
    <t>Las Vegas Valley Water District</t>
  </si>
  <si>
    <t>lasvegaswashbouldercity</t>
  </si>
  <si>
    <t>Las Vegas Wash (Boulder City)</t>
  </si>
  <si>
    <t>lasvegaswashpabcordhenderson</t>
  </si>
  <si>
    <t>Las Vegas Wash (Pabco Rd - Henderson)</t>
  </si>
  <si>
    <t>littlecoloradoriverabvmouthnrdesertview</t>
  </si>
  <si>
    <t>Little Colorado River Abv Mouth NR Desert View; AZ</t>
  </si>
  <si>
    <t>littlecoloradorivernearcameron</t>
  </si>
  <si>
    <t>Little Colorado River Near Cameron; Az</t>
  </si>
  <si>
    <t>lmnracottonwood</t>
  </si>
  <si>
    <t>Lake Mead National Recreation Area; NV. Lake Mohave / Cottonwood</t>
  </si>
  <si>
    <t>lmnralkmead</t>
  </si>
  <si>
    <t>Lake Mead National Recreation Area; NV.  Lake Mead</t>
  </si>
  <si>
    <t>lmnralkmohave</t>
  </si>
  <si>
    <t>Lake Mead National Recreation Area; AZ. Lake Mohave</t>
  </si>
  <si>
    <t>lmnratemplebar</t>
  </si>
  <si>
    <t>Lake Mead National Recreation Area; AZ. Lake Mead /Temple Bar</t>
  </si>
  <si>
    <t>lowercoloradoriverdamsprojectdavisdam</t>
  </si>
  <si>
    <t>Lower Colorado River Dams Project (Davis Dam)</t>
  </si>
  <si>
    <t>marinecorpsairstationyuma</t>
  </si>
  <si>
    <t>Marine Corps Air Station (Yuma)</t>
  </si>
  <si>
    <t>miscellaneousandchecksumnevada</t>
  </si>
  <si>
    <t>Miscellaneous and Check Sum - Nevada</t>
  </si>
  <si>
    <t>miscellaneousothersandsumcheckarizona</t>
  </si>
  <si>
    <t>Miscellaneous Others and Sum Check - Arizona</t>
  </si>
  <si>
    <t>miscellaneousothersandsumcheckca</t>
  </si>
  <si>
    <t>Miscellaneous Others and Sum Check - CA</t>
  </si>
  <si>
    <t>mohavevalleyirrigationdistrict</t>
  </si>
  <si>
    <t>Mohave Valley Irrigation District</t>
  </si>
  <si>
    <t>mohavewaterconservationdistrict</t>
  </si>
  <si>
    <t>Mohave Water Conservation District</t>
  </si>
  <si>
    <t>mwd</t>
  </si>
  <si>
    <t>MWD Canal Export</t>
  </si>
  <si>
    <t>nellisairforcebase</t>
  </si>
  <si>
    <t>Nellis Air Force Base</t>
  </si>
  <si>
    <t>nevadadepartmentoffishandgame</t>
  </si>
  <si>
    <t>Nevada Department of Fish and Game</t>
  </si>
  <si>
    <t>northgilamaincanalto#1</t>
  </si>
  <si>
    <t>North Gila Main Canal T.O. #1</t>
  </si>
  <si>
    <t>northgilavalleyirrigationdistrict</t>
  </si>
  <si>
    <t>North Gila Valley Irrigation District</t>
  </si>
  <si>
    <t>otherarizonauserspumping</t>
  </si>
  <si>
    <t>Other Arizona Users Pumping; Lees Ferry to Davis Dam</t>
  </si>
  <si>
    <t>otherarizonauserspumpingbelowimperialdam</t>
  </si>
  <si>
    <t>Other Arizona Users Pumping - below Imperial Dam</t>
  </si>
  <si>
    <t>otherarizonauserspumpingdavistoparker</t>
  </si>
  <si>
    <t>Other Arizona Users Pumping - Davis to Parker</t>
  </si>
  <si>
    <t>otherarizonauserspumpingparkertoimperial</t>
  </si>
  <si>
    <t>Other Arizona Users Pumping - Parker to Imperial</t>
  </si>
  <si>
    <t>othercaliforniauserspumpingbelowimperialdam</t>
  </si>
  <si>
    <t>Other California Users Pumping - below Imperial Dam</t>
  </si>
  <si>
    <t>othercaliforniauserspumpingdavistoparker</t>
  </si>
  <si>
    <t>Other California Users Pumping - Davis to Parker</t>
  </si>
  <si>
    <t>othercaliforniauserspumpingparkertoimperial</t>
  </si>
  <si>
    <t>Other California Users Pumping - Parker to Imperial</t>
  </si>
  <si>
    <t>othernevadauserspumpinginfloodplaindavisdamtocalbndry</t>
  </si>
  <si>
    <t>Other Nevada Users Pumping in Flood Plain Davis Dam to Cal Bndry</t>
  </si>
  <si>
    <t>pacificcoastbuildingproductsinc</t>
  </si>
  <si>
    <t>Pacific Coast Building Products Inc.</t>
  </si>
  <si>
    <t>paloverdecanal</t>
  </si>
  <si>
    <t>Palo Verde Canal</t>
  </si>
  <si>
    <t>parkerdamandgovernmentcamp</t>
  </si>
  <si>
    <t>Parker Dam and Government Camp</t>
  </si>
  <si>
    <t>pdmlc</t>
  </si>
  <si>
    <t>Lake Havasu</t>
  </si>
  <si>
    <t>pglc</t>
  </si>
  <si>
    <t>Colorado River at Parker Gage</t>
  </si>
  <si>
    <t>pumpedfromsouthgilawellsdpoc's</t>
  </si>
  <si>
    <t>Pumped from South Gila Wells (DPOC'S)</t>
  </si>
  <si>
    <t>pvc</t>
  </si>
  <si>
    <t>Palo Verde Main Canal</t>
  </si>
  <si>
    <t>pvidc28lowerspill</t>
  </si>
  <si>
    <t>PVID C-28 Lower Spill</t>
  </si>
  <si>
    <t>pvidc28upperspill</t>
  </si>
  <si>
    <t>PVID C-28 Upper Spill</t>
  </si>
  <si>
    <t>pvidccanalspill</t>
  </si>
  <si>
    <t>PVID C-Canal Spill</t>
  </si>
  <si>
    <t>pvidd10112spill</t>
  </si>
  <si>
    <t>PVID D-10-11-2 Spill</t>
  </si>
  <si>
    <t>pvidd10115spill</t>
  </si>
  <si>
    <t>PVID D-10-11-5 Spill</t>
  </si>
  <si>
    <t>pvidd231spill</t>
  </si>
  <si>
    <t>PVID D-23-1 Spill</t>
  </si>
  <si>
    <t>pvidd23spill</t>
  </si>
  <si>
    <t>PVID D-23 Spill</t>
  </si>
  <si>
    <t>pvidfcanalspill</t>
  </si>
  <si>
    <t>PVID F-Canal Spill</t>
  </si>
  <si>
    <t>pvlc</t>
  </si>
  <si>
    <t>Colorado River Below Palo Verde Dam</t>
  </si>
  <si>
    <t>pvof</t>
  </si>
  <si>
    <t>Palo Verde Outfall Drain</t>
  </si>
  <si>
    <t>robertbgriffithwaterproject</t>
  </si>
  <si>
    <t>Robert B. Griffith Water Project</t>
  </si>
  <si>
    <t>rs41lc</t>
  </si>
  <si>
    <t>Colorado River at River Section 41</t>
  </si>
  <si>
    <t>sanbernadinocounty</t>
  </si>
  <si>
    <t>San Bernadino County</t>
  </si>
  <si>
    <t>senatorwashreservoir</t>
  </si>
  <si>
    <t>Senator Wash Reservoir</t>
  </si>
  <si>
    <t>southernnevadawaterauthoritysce</t>
  </si>
  <si>
    <t>Southern Nevada Water Authority (SCE)</t>
  </si>
  <si>
    <t>southernpacificcompany</t>
  </si>
  <si>
    <t>Southern Pacific Company</t>
  </si>
  <si>
    <t>tflc</t>
  </si>
  <si>
    <t>Colorado River at Taylor Ferry</t>
  </si>
  <si>
    <t>townofparker</t>
  </si>
  <si>
    <t>Town of Parker</t>
  </si>
  <si>
    <t>unassignedreturns</t>
  </si>
  <si>
    <t>Unassigned Returns</t>
  </si>
  <si>
    <t>unitbirrigationanddrainagedistrict</t>
  </si>
  <si>
    <t>Unit B Irrigation and Drainage District</t>
  </si>
  <si>
    <t>universityofarizona</t>
  </si>
  <si>
    <t>University of Arizona</t>
  </si>
  <si>
    <t>welltonmowhawkirrigationanddrainagedistrict</t>
  </si>
  <si>
    <t>Wellton Mowhawk Irrigation and Drainage District</t>
  </si>
  <si>
    <t>wwlc</t>
  </si>
  <si>
    <t>Colorado River at Water Wheel</t>
  </si>
  <si>
    <t>yumaareaoffice</t>
  </si>
  <si>
    <t>Yuma Area Office; USBR</t>
  </si>
  <si>
    <t>yumacountywaterusersassociation</t>
  </si>
  <si>
    <t>Yuma County Water Users Association</t>
  </si>
  <si>
    <t>yumairrigationdistrict</t>
  </si>
  <si>
    <t>Yuma Irrigation District</t>
  </si>
  <si>
    <t>yumamesadivision</t>
  </si>
  <si>
    <t>Yuma Mesa Division</t>
  </si>
  <si>
    <t>yumamesafruitgrowersassn</t>
  </si>
  <si>
    <t>Yuma Mesa Fruit Growers Assn.</t>
  </si>
  <si>
    <t>yumamesairrigationanddrainagedistrict</t>
  </si>
  <si>
    <t>Yuma Mesa Irrigation and Drainage District</t>
  </si>
  <si>
    <t>yumaprojectreservationdivision</t>
  </si>
  <si>
    <t>Yuma Project Reservation Division</t>
  </si>
  <si>
    <t>yumaprojectreservationdivisionbardunitsystem1</t>
  </si>
  <si>
    <t>Yuma Project Reservation Division - Bard Unit (System1)</t>
  </si>
  <si>
    <t>yumaprojectreservationdivisionindianunitsystem2</t>
  </si>
  <si>
    <t>Yuma Project Reservation Division - Indian Unit (System2)</t>
  </si>
  <si>
    <t>yumaprovingground</t>
  </si>
  <si>
    <t>Yuma Proving Ground; Wells W;X;Y;Z</t>
  </si>
  <si>
    <t>yumaunionhighschool</t>
  </si>
  <si>
    <t>Yuma Union High School</t>
  </si>
  <si>
    <t>abiquiureservoir</t>
  </si>
  <si>
    <t>ABIQUIU RESERVOIR</t>
  </si>
  <si>
    <t>NM</t>
  </si>
  <si>
    <t>UC</t>
  </si>
  <si>
    <t>adamstunnelatnrestespark</t>
  </si>
  <si>
    <t>ALVA B. ADAMS TUNNEL AT EAST PORTAL NEAR ESTES PARK</t>
  </si>
  <si>
    <t>aguacanyonswe</t>
  </si>
  <si>
    <t>AGUA CANYON</t>
  </si>
  <si>
    <t>ahshislepahwashnearkimbeto</t>
  </si>
  <si>
    <t>AH-SHI-SLE-PAH WASH NEAR KIMBETO ;NM</t>
  </si>
  <si>
    <t>alfalfablfruitgrowers</t>
  </si>
  <si>
    <t>ALFALFA RUN BL FRUITGROWERS; Deliveries</t>
  </si>
  <si>
    <t>alfalfaditchabovefruitgrowersreservoir</t>
  </si>
  <si>
    <t>ALFALFA DITCH ABOVE FRUIT GROWERS RESERVOIR NEAR ECKERT</t>
  </si>
  <si>
    <t>americancanalatelpaso</t>
  </si>
  <si>
    <t>AMERICAN CANAL AT EL PASO</t>
  </si>
  <si>
    <t>animasriverabovetacoma</t>
  </si>
  <si>
    <t>ANIMAS RIVER AT TALL TIMBER RESORT NEAR ROCKWOOD</t>
  </si>
  <si>
    <t>animasriveratdurango</t>
  </si>
  <si>
    <t>ANIMAS RIVER AT DURANGO; CO.</t>
  </si>
  <si>
    <t>animasriveratfarmington</t>
  </si>
  <si>
    <t>ANIMAS RIVER AT FARMINGTON; NM</t>
  </si>
  <si>
    <t>animasriverathowardsville</t>
  </si>
  <si>
    <t>ANIMAS RIVER AT HOWARDSVILLE; CO.</t>
  </si>
  <si>
    <t>animasriveratsilverton</t>
  </si>
  <si>
    <t>ANIMAS RIVER AT SILVERTON; CO.</t>
  </si>
  <si>
    <t>animasriverbelowdpp</t>
  </si>
  <si>
    <t>ANIMAS RIVER BELOW DPP</t>
  </si>
  <si>
    <t>animasriverbelowsilverton</t>
  </si>
  <si>
    <t>ANIMAS RIVER BELOW SILVERTON; CO</t>
  </si>
  <si>
    <t>animasrivernearcedarhill</t>
  </si>
  <si>
    <t>ANIMAS RIVER NEAR CEDAR HILL; N. MEX.</t>
  </si>
  <si>
    <t>apishapaswe</t>
  </si>
  <si>
    <t>APISHAPA</t>
  </si>
  <si>
    <t>arrowswe</t>
  </si>
  <si>
    <t>ARROW</t>
  </si>
  <si>
    <t>avalon</t>
  </si>
  <si>
    <t>AVALON RESERVOIR NEAR CARLSBAD; NM</t>
  </si>
  <si>
    <t>azoteatunnel</t>
  </si>
  <si>
    <t>AZOTEA TUNNEL OUTLET NEAR CHAMA; NM</t>
  </si>
  <si>
    <t>batemanswe</t>
  </si>
  <si>
    <t>BATEMAN</t>
  </si>
  <si>
    <t>battlemountainswe</t>
  </si>
  <si>
    <t>BATTLE MOUNTAIN</t>
  </si>
  <si>
    <t>beartownswe</t>
  </si>
  <si>
    <t>BEARTOWN</t>
  </si>
  <si>
    <t>beavercreeknearnorwood</t>
  </si>
  <si>
    <t>BEAVER CREEK NEAR NORWOOD; CO</t>
  </si>
  <si>
    <t>beaverdamsswe</t>
  </si>
  <si>
    <t>BEAVER DAMS</t>
  </si>
  <si>
    <t>beaverdivideswe</t>
  </si>
  <si>
    <t>BEAVER DIVIDE</t>
  </si>
  <si>
    <t>benlomondpeakswe</t>
  </si>
  <si>
    <t>BEN LOMOND PEAK</t>
  </si>
  <si>
    <t>benlomondtrailswe</t>
  </si>
  <si>
    <t>BEN LOMOND TRAIL</t>
  </si>
  <si>
    <t>berthoudsummitswe</t>
  </si>
  <si>
    <t>BERTHOUD SUMMIT</t>
  </si>
  <si>
    <t>bigflatswe</t>
  </si>
  <si>
    <t>BIG FLAT</t>
  </si>
  <si>
    <t>bigsandy</t>
  </si>
  <si>
    <t>BIG SANDY RESERVOIR</t>
  </si>
  <si>
    <t>bigsandyopeningswe</t>
  </si>
  <si>
    <t>BIG SANDY OPENING</t>
  </si>
  <si>
    <t>bigsandyrivernearfarson</t>
  </si>
  <si>
    <t>BIG SANDY RIVER ABOVE BIG SANDY RESERVOIR NEAR FARSON</t>
  </si>
  <si>
    <t>bisonlakeswe</t>
  </si>
  <si>
    <t>BISON LAKE</t>
  </si>
  <si>
    <t>blackflatu.m.ckswe</t>
  </si>
  <si>
    <t>BLACK FLAT-U.M. CK</t>
  </si>
  <si>
    <t>blackriveratmalaga</t>
  </si>
  <si>
    <t>BLACK RIVER AT MALAGA; NM</t>
  </si>
  <si>
    <t>blacksforkatlittleamerica</t>
  </si>
  <si>
    <t>BLACKS FORK AT LITTLE AMERICA</t>
  </si>
  <si>
    <t>blackspringswashnrmexicansprings</t>
  </si>
  <si>
    <t>BLACK SPRINGS WASH NR MEXICAN SPRINGS; N MEX</t>
  </si>
  <si>
    <t>blancodiversion</t>
  </si>
  <si>
    <t>BLANCO DIVERSION NEAR PAGOSA SPRINGS</t>
  </si>
  <si>
    <t>blindbullsumswe</t>
  </si>
  <si>
    <t>BLIND BULL SUM</t>
  </si>
  <si>
    <t>bluemesa</t>
  </si>
  <si>
    <t>BLUE MESA RESERVOIR</t>
  </si>
  <si>
    <t>boxcreekswe</t>
  </si>
  <si>
    <t>BOX CREEK</t>
  </si>
  <si>
    <t>brantley</t>
  </si>
  <si>
    <t>BRANTLEY LAKE</t>
  </si>
  <si>
    <t>brightonswe</t>
  </si>
  <si>
    <t>BRIGHTON</t>
  </si>
  <si>
    <t>brownduckswe</t>
  </si>
  <si>
    <t>BROWN DUCK</t>
  </si>
  <si>
    <t>brumleyswe</t>
  </si>
  <si>
    <t>BRUMLEY</t>
  </si>
  <si>
    <t>buckflatswe</t>
  </si>
  <si>
    <t>BUCK FLAT</t>
  </si>
  <si>
    <t>buffaloparkswe</t>
  </si>
  <si>
    <t>BUFFALO PARK</t>
  </si>
  <si>
    <t>buglakeswe</t>
  </si>
  <si>
    <t>BUG LAKE</t>
  </si>
  <si>
    <t>burnhamwashnrburnham</t>
  </si>
  <si>
    <t>BURNHAM WASH NR BURNHAM; NM</t>
  </si>
  <si>
    <t>burromountainswe</t>
  </si>
  <si>
    <t>BURRO MOUNTAIN</t>
  </si>
  <si>
    <t>butteswe</t>
  </si>
  <si>
    <t>BUTTE</t>
  </si>
  <si>
    <t>caballo</t>
  </si>
  <si>
    <t>CABALLO RESERVOIR</t>
  </si>
  <si>
    <t>campjacksonswe</t>
  </si>
  <si>
    <t>CAMP JACKSON</t>
  </si>
  <si>
    <t>canonlargonrblanco</t>
  </si>
  <si>
    <t>CANON LARGO NR BLANCO;NM</t>
  </si>
  <si>
    <t>cascade2swe</t>
  </si>
  <si>
    <t>CASCADE #2</t>
  </si>
  <si>
    <t>cascademountainswe</t>
  </si>
  <si>
    <t>CASCADE MOUNTAIN</t>
  </si>
  <si>
    <t>cascadeswe</t>
  </si>
  <si>
    <t>CASCADE</t>
  </si>
  <si>
    <t>castlevalleyswe</t>
  </si>
  <si>
    <t>CASTLE VALLEY</t>
  </si>
  <si>
    <t>causey</t>
  </si>
  <si>
    <t>CAUSEY RESERVOIR</t>
  </si>
  <si>
    <t>cementcreekatsilverton</t>
  </si>
  <si>
    <t>CEMENT CREEK AT SILVERTON; CO</t>
  </si>
  <si>
    <t>chacorivernearwaterflow</t>
  </si>
  <si>
    <t>CHACO RIVER NEAR WATERFLOW ; NM</t>
  </si>
  <si>
    <t>chacorivernrburnham</t>
  </si>
  <si>
    <t>CHACO RIVER NR BURNHAM; NM</t>
  </si>
  <si>
    <t>chacowashatchacocanyonnationalmonument</t>
  </si>
  <si>
    <t>CHACO WASH AT CHACO CANYON NATIONAL MONUMENT</t>
  </si>
  <si>
    <t>chacowashatebatchacocanyonnatlmonnm</t>
  </si>
  <si>
    <t>CHACO WASH AT EB AT CHACO CANYON NATL MON NM</t>
  </si>
  <si>
    <t>chacowashnrpbatbridgeatchaconatlmon</t>
  </si>
  <si>
    <t>CHACO WASH NR PB AT BRIDGE AT CHACO NATL MON</t>
  </si>
  <si>
    <t>chacowashnrstarlaketradingpost</t>
  </si>
  <si>
    <t>CHACO WASH NR STARLAKE TRADING POST; NM</t>
  </si>
  <si>
    <t>chalkcreek1swe</t>
  </si>
  <si>
    <t>CHALK CREEK #1</t>
  </si>
  <si>
    <t>chalkcreek2swe</t>
  </si>
  <si>
    <t>CHALK CREEK #2</t>
  </si>
  <si>
    <t>chamitaswe</t>
  </si>
  <si>
    <t>CHAMITA</t>
  </si>
  <si>
    <t>chepetaswe</t>
  </si>
  <si>
    <t>CHEPETA</t>
  </si>
  <si>
    <t>cherrycreeknearredmesa</t>
  </si>
  <si>
    <t>CHERRY CREEK NEAR RED MESA; CO.</t>
  </si>
  <si>
    <t>cimarronrivernearcimarron</t>
  </si>
  <si>
    <t>CIMARRON RIVER NEAR CIMARRON; CO</t>
  </si>
  <si>
    <t>claytonspringsswe</t>
  </si>
  <si>
    <t>CLAYTON SPRINGS</t>
  </si>
  <si>
    <t>clearcreek1swe</t>
  </si>
  <si>
    <t>CLEAR CREEK #1</t>
  </si>
  <si>
    <t>clearcreek2swe</t>
  </si>
  <si>
    <t>CLEAR CREEK #2</t>
  </si>
  <si>
    <t>cochetopacreekbelowrockcreek</t>
  </si>
  <si>
    <t>COCHETOPA CREEK BELOW ROCK CREEK; NEAR PARLIN; CO</t>
  </si>
  <si>
    <t>cochetopapassswe</t>
  </si>
  <si>
    <t>COCHETOPA PASS</t>
  </si>
  <si>
    <t>cochitieastsidemaincanalatcochiti</t>
  </si>
  <si>
    <t>COCHITI EAST SIDE MAIN CANAL AT COCHITI</t>
  </si>
  <si>
    <t>cochitireservoir</t>
  </si>
  <si>
    <t>COCHITI LAKE NEAR COCHITI PUEBLO</t>
  </si>
  <si>
    <t>coloradoplusgreenplussanjuantemp</t>
  </si>
  <si>
    <t>COLORADO PLUS GREEN PLUS SAN JUAN (TEMP)</t>
  </si>
  <si>
    <t>coloradoriveratglenwoodsprings</t>
  </si>
  <si>
    <t>COLORADO RIVER AT GLENWOOD SPRINGS; CO.</t>
  </si>
  <si>
    <t>coloradoriverbelowglencanyondam</t>
  </si>
  <si>
    <t>COLORADO RIVER BELOW GLEN CANYON DAM</t>
  </si>
  <si>
    <t>coloradoriverblgrandvalleycanalnrpalisade</t>
  </si>
  <si>
    <t>COLORADO RIVER BL GRAND VALLEY CANAL NR PALISADE</t>
  </si>
  <si>
    <t>coloradorivernearcameo</t>
  </si>
  <si>
    <t>COLORADO RIVER NEAR CAMEO; CO.</t>
  </si>
  <si>
    <t>coloradorivernearcisco</t>
  </si>
  <si>
    <t>COLORADO RIVER NEAR CISCO; UT</t>
  </si>
  <si>
    <t>coloradorivernearcoloradoutahstateline</t>
  </si>
  <si>
    <t>COLORADO RIVER NEAR COLORADO-UTAH STATE LINE</t>
  </si>
  <si>
    <t>columbinepassswe</t>
  </si>
  <si>
    <t>COLUMBINE PASS</t>
  </si>
  <si>
    <t>columbineswe</t>
  </si>
  <si>
    <t>COLUMBINE</t>
  </si>
  <si>
    <t>columbusbasinswe</t>
  </si>
  <si>
    <t>COLUMBUS BASIN</t>
  </si>
  <si>
    <t>conejosriverbelowplatororeservoir</t>
  </si>
  <si>
    <t>CONEJOS RIVER BELOW PLATORO RESERVOIR</t>
  </si>
  <si>
    <t>conejosrivernearmogote</t>
  </si>
  <si>
    <t>CONEJOS RIVER NEAR MOGOTE</t>
  </si>
  <si>
    <t>coppermountainswe</t>
  </si>
  <si>
    <t>COPPER MOUNTAIN</t>
  </si>
  <si>
    <t>costillacreekabovecostilladam</t>
  </si>
  <si>
    <t>COSTILLA CREEK ABOVE COSTILLA DAM; NM</t>
  </si>
  <si>
    <t>costillacreekbelowcostilladam</t>
  </si>
  <si>
    <t>COSTILLA CREEK BELOW COSTILLA DAM; NM</t>
  </si>
  <si>
    <t>costillacreeknearcostilla</t>
  </si>
  <si>
    <t>COSTILLA CREEK NEAR COSTILLA; NM</t>
  </si>
  <si>
    <t>costillacreekneargarcia</t>
  </si>
  <si>
    <t>COSTILLA CREEK NEAR GARCIA; CO</t>
  </si>
  <si>
    <t>cottonwoodwashnrblandingutah</t>
  </si>
  <si>
    <t>COTTONWOOD WASH NR BLANDING UTAH</t>
  </si>
  <si>
    <t>cowcreeknearridgwayreservoir</t>
  </si>
  <si>
    <t>COW CREEK NEAR RIDGWAY RERSERVOIR</t>
  </si>
  <si>
    <t>crawford</t>
  </si>
  <si>
    <t>CRAWFORD RESERVOIR; COLORADO</t>
  </si>
  <si>
    <t>croshoswe</t>
  </si>
  <si>
    <t>CROSHO</t>
  </si>
  <si>
    <t>crystal</t>
  </si>
  <si>
    <t>CRYSTAL RESERVOIR</t>
  </si>
  <si>
    <t>culebra2swe</t>
  </si>
  <si>
    <t>CULEBRA #2</t>
  </si>
  <si>
    <t>cumbrestrestleswe</t>
  </si>
  <si>
    <t>CUMBRES TRESTLE</t>
  </si>
  <si>
    <t>curecanticreeknearsapinero</t>
  </si>
  <si>
    <t>CURECANTI CREEK NEAR SAPINERO; CO</t>
  </si>
  <si>
    <t>currantcreek</t>
  </si>
  <si>
    <t>CURRANT CREEK RESERVOIR; UTAH</t>
  </si>
  <si>
    <t>currantcreeknearfruitland</t>
  </si>
  <si>
    <t>CURRANT CREEK NEAR FRUITLAND</t>
  </si>
  <si>
    <t>currantcreekswe</t>
  </si>
  <si>
    <t>CURRANT CREEK</t>
  </si>
  <si>
    <t>dallascreeknearridgeway</t>
  </si>
  <si>
    <t>DALLAS CREEK NEAR RIDGEWAY; CO</t>
  </si>
  <si>
    <t>danielsstrawberryswe</t>
  </si>
  <si>
    <t>DANIELS-STRAWBERRY</t>
  </si>
  <si>
    <t>darkcanyonatcarlsbad</t>
  </si>
  <si>
    <t>DARK CANYON AT CARLSBAD; NM</t>
  </si>
  <si>
    <t>daviesditch</t>
  </si>
  <si>
    <t>DAVIES DITCH; COLORADO</t>
  </si>
  <si>
    <t>deercreek</t>
  </si>
  <si>
    <t>DEER CREEK RESERVOIR; UTAH</t>
  </si>
  <si>
    <t>denazinwashnrbistitradingpost</t>
  </si>
  <si>
    <t>DE-NA-ZIN WASH NR BISTI TRADING POST ; NM</t>
  </si>
  <si>
    <t>deseretpeakswe</t>
  </si>
  <si>
    <t>DESERET PEAK</t>
  </si>
  <si>
    <t>dillonreservoir</t>
  </si>
  <si>
    <t>DILLON RESERVOIR</t>
  </si>
  <si>
    <t>dill'scampswe</t>
  </si>
  <si>
    <t>DILL'S CAMP</t>
  </si>
  <si>
    <t>dividepeakswe</t>
  </si>
  <si>
    <t>DIVIDE PEAK</t>
  </si>
  <si>
    <t>doloresriveratdolores</t>
  </si>
  <si>
    <t>DOLORES RIVER AT DOLORES; COLORADO</t>
  </si>
  <si>
    <t>doloresriveratgateway</t>
  </si>
  <si>
    <t>DOLORES RIVER AT GATEWAY; CO</t>
  </si>
  <si>
    <t>doloresriverbelowmcpheereservoir</t>
  </si>
  <si>
    <t>DOLORES RIVER BELOW MCPHEE RESERVOIR</t>
  </si>
  <si>
    <t>doloresriverbelowrico</t>
  </si>
  <si>
    <t>DOLORES RIVER BELOW RICO</t>
  </si>
  <si>
    <t>doloresriverblomcpheereservoir</t>
  </si>
  <si>
    <t>DOLORES RIVER BLO MCPHEE RESERVOIR; COLORADO</t>
  </si>
  <si>
    <t>doloresrivernearbedrock</t>
  </si>
  <si>
    <t>DOLORES RIVER NEAR BEDROCK; CO</t>
  </si>
  <si>
    <t>doloresrivernearcisco</t>
  </si>
  <si>
    <t>DOLORES RIVER NEAR CISCO; UT</t>
  </si>
  <si>
    <t>donkeyreservoirswe</t>
  </si>
  <si>
    <t>DONKEY RESERVOIR</t>
  </si>
  <si>
    <t>drybreadpondswe</t>
  </si>
  <si>
    <t>DRY BREAD POND</t>
  </si>
  <si>
    <t>dryforkswe</t>
  </si>
  <si>
    <t>DRY FORK</t>
  </si>
  <si>
    <t>drylakeswe</t>
  </si>
  <si>
    <t>DRY LAKE</t>
  </si>
  <si>
    <t>duchesnerivernearrandlett</t>
  </si>
  <si>
    <t>DUCHESNE RIVER NEAR RANDLETT; UT</t>
  </si>
  <si>
    <t>eagledrawatartesia</t>
  </si>
  <si>
    <t>EAGLE DRAW AT ARTESIA; NM</t>
  </si>
  <si>
    <t>eastcanyon</t>
  </si>
  <si>
    <t>EAST CANYON RESERVOIR NEAR MORGAN</t>
  </si>
  <si>
    <t>eastcanyoncreekbelowi80reststop</t>
  </si>
  <si>
    <t>EAST CANYON CREEK BELOW I-80 REST STOP</t>
  </si>
  <si>
    <t>eastforksanjuanrivernrpagosasprings</t>
  </si>
  <si>
    <t>EAST FORK SAN JUAN RIVER NR PAGOSA SPRINGS;</t>
  </si>
  <si>
    <t>eastmancosrivernearmancos</t>
  </si>
  <si>
    <t>EAST MANCOS RIVER NEAR MANCOS; CO.</t>
  </si>
  <si>
    <t>eastriflecreekaboveriflegap</t>
  </si>
  <si>
    <t>EAST RIFLE CREEK BELOW ELK PARK</t>
  </si>
  <si>
    <t>eastrimdivideswe</t>
  </si>
  <si>
    <t>EAST RIM DIVIDE</t>
  </si>
  <si>
    <t>eastriveratalmont</t>
  </si>
  <si>
    <t>EAST RIVER AT ALMONT; CO</t>
  </si>
  <si>
    <t>eastwillowcreekswe</t>
  </si>
  <si>
    <t>EAST WILLOW CREEK</t>
  </si>
  <si>
    <t>echoreservoir</t>
  </si>
  <si>
    <t>ECHO RESERVOIR</t>
  </si>
  <si>
    <t>edenreservoir</t>
  </si>
  <si>
    <t>EDEN RESERVOIR</t>
  </si>
  <si>
    <t>efsanjuanrabsandcreek</t>
  </si>
  <si>
    <t>EF SAN JUAN R AB SAND CREEK; NR PAGOSA SPGS;</t>
  </si>
  <si>
    <t>eldientepeakswe</t>
  </si>
  <si>
    <t>EL DIENTE PEAK</t>
  </si>
  <si>
    <t>elephantbuttedam</t>
  </si>
  <si>
    <t>ELEPHANT BUTTE RESERVOIR</t>
  </si>
  <si>
    <t>elkcabinswe</t>
  </si>
  <si>
    <t>ELK CABIN</t>
  </si>
  <si>
    <t>elkhartparkg.s.swe</t>
  </si>
  <si>
    <t>ELKHART PARK G.S.</t>
  </si>
  <si>
    <t>elkheadcreekabovelonggulch</t>
  </si>
  <si>
    <t>ELKHEAD CREEK ABOVE LONG GULCH; NEAR HAYDEN; CO</t>
  </si>
  <si>
    <t>elkheadcreekbelowmaynardgulch</t>
  </si>
  <si>
    <t>ELKHEAD CREEK BELOW MAYNARD GULCH; NEAR CRAIG; CO</t>
  </si>
  <si>
    <t>elkriveratclark</t>
  </si>
  <si>
    <t>ELK RIVER AT CLARK; CO.</t>
  </si>
  <si>
    <t>elkrivernearmilner</t>
  </si>
  <si>
    <t>ELK RIVER NEAR MILNER; CO</t>
  </si>
  <si>
    <t>elkriverswe</t>
  </si>
  <si>
    <t>ELK RIVER</t>
  </si>
  <si>
    <t>elvado</t>
  </si>
  <si>
    <t>EL VADO RESERVOIR</t>
  </si>
  <si>
    <t>embudocreekatdixon</t>
  </si>
  <si>
    <t>EMBUDO CREEK AT DIXON; NM</t>
  </si>
  <si>
    <t>fajadawashatchacocanyonnatlmonnm</t>
  </si>
  <si>
    <t>FAJADA WASH AT CHACO CANYON NATL MON NM</t>
  </si>
  <si>
    <t>fallcreeknearfallcreek</t>
  </si>
  <si>
    <t>FALL CREEK NEAR FALL CREEK; CO</t>
  </si>
  <si>
    <t>fallscreekneardurango</t>
  </si>
  <si>
    <t>FALLS CREEK NEAR DURANGO; CO.</t>
  </si>
  <si>
    <t>farmingtonlowerswe</t>
  </si>
  <si>
    <t>FARMINGTON LOWER</t>
  </si>
  <si>
    <t>farmingtonswe</t>
  </si>
  <si>
    <t>FARMINGTON</t>
  </si>
  <si>
    <t>farnsworthlakeswe</t>
  </si>
  <si>
    <t>FARNSWORTH LAKE</t>
  </si>
  <si>
    <t>fishcreekabovereservoir</t>
  </si>
  <si>
    <t>FISH CREEK ABOVE RESERVOIR; NEAR SCOFIELD; UT</t>
  </si>
  <si>
    <t>fivepointslakeswe</t>
  </si>
  <si>
    <t>FIVE POINTS LAKE</t>
  </si>
  <si>
    <t>flaminggorge</t>
  </si>
  <si>
    <t>FLAMING GORGE RESERVOIR</t>
  </si>
  <si>
    <t>floridacanal</t>
  </si>
  <si>
    <t>FLORIDA CANAL NEAR DURANGO</t>
  </si>
  <si>
    <t>floridariverabovelemonreservoir</t>
  </si>
  <si>
    <t>FLORIDA RIVER ABOVE LEMON RESERVOIR; NR BAYFIELD; CO</t>
  </si>
  <si>
    <t>floridariveratbondad</t>
  </si>
  <si>
    <t>FLORIDA RIVER AT BONDAD; CO.</t>
  </si>
  <si>
    <t>floridariverblfarmersditch</t>
  </si>
  <si>
    <t>FLORIDA R BL FLOR FARMERS DITCH; NR DURANGO</t>
  </si>
  <si>
    <t>floridariverbllemonreservoir</t>
  </si>
  <si>
    <t>FLORIDA RIVER BELOW LEMON RESERVOIR; NR BAYFIELD</t>
  </si>
  <si>
    <t>floridarivernearhermosa</t>
  </si>
  <si>
    <t>FLORIDA RIVER NEAR HERMOSA; CO.</t>
  </si>
  <si>
    <t>floridarivernrdurango</t>
  </si>
  <si>
    <t>FLORIDA RIVER NEAR DURANGO</t>
  </si>
  <si>
    <t>fontenelle</t>
  </si>
  <si>
    <t>FONTENELLE RESERVOIR</t>
  </si>
  <si>
    <t>fontenellecreeknearhershlerranch</t>
  </si>
  <si>
    <t>FONTENELLE CREEK NEAR HERSHLER RANCH; WY.</t>
  </si>
  <si>
    <t>fortsumnermaincanalnearfortsumner</t>
  </si>
  <si>
    <t>FORT SUMNER MAIN CANAL NEAR FORT SUMNER; NM</t>
  </si>
  <si>
    <t>fourmiledrawnearlakewood</t>
  </si>
  <si>
    <t>FOUR MILE DRAW NEAR LAKEWOOD</t>
  </si>
  <si>
    <t>franklinbasinswe</t>
  </si>
  <si>
    <t>FRANKLIN BASIN</t>
  </si>
  <si>
    <t>fremontpassswe</t>
  </si>
  <si>
    <t>FREMONT PASS</t>
  </si>
  <si>
    <t>fruitgrowers</t>
  </si>
  <si>
    <t>FRUITGROWERS RESERVOIR; COLORADO</t>
  </si>
  <si>
    <t>fruitlandcanalflume</t>
  </si>
  <si>
    <t>FRUITLAND CANAL FLUME</t>
  </si>
  <si>
    <t>fsidlowerdrain</t>
  </si>
  <si>
    <t>Fort Sumner Irrigation District Lower Drain</t>
  </si>
  <si>
    <t>fsidmaindrain</t>
  </si>
  <si>
    <t>Fort Sumner Irrigation District Main Drain</t>
  </si>
  <si>
    <t>gallegoscanyonnrfarmington</t>
  </si>
  <si>
    <t>GALLEGOS CANYON NR FARMINGTON; NM</t>
  </si>
  <si>
    <t>gallegospeakswe</t>
  </si>
  <si>
    <t>GALLEGOS PEAK</t>
  </si>
  <si>
    <t>gallinascreeknearlourdes</t>
  </si>
  <si>
    <t>GALLINAS CREEK NEAR LOURDES</t>
  </si>
  <si>
    <t>gallowashatchaconationalmonument</t>
  </si>
  <si>
    <t>GALLO WASH AT CHACO NATIONAL MONUMENT; NM</t>
  </si>
  <si>
    <t>gooseberryr.s.swe</t>
  </si>
  <si>
    <t>GOOSEBERRY R.S.</t>
  </si>
  <si>
    <t>granbyreservoir</t>
  </si>
  <si>
    <t>GRANBY RESERVOIR; CO</t>
  </si>
  <si>
    <t>graybackswe</t>
  </si>
  <si>
    <t>GRAYBACK</t>
  </si>
  <si>
    <t>greenmountainreservoir</t>
  </si>
  <si>
    <t>GREEN MOUNTAIN RESERVOIR; CO</t>
  </si>
  <si>
    <t>greenriverabovefontenellelabarge</t>
  </si>
  <si>
    <t>GREEN RIVER ABOVE FONTENELLE (LA BARGE)</t>
  </si>
  <si>
    <t>greenriveratgreenriver</t>
  </si>
  <si>
    <t>GREEN RIVER AT GREEN RIVER; UT</t>
  </si>
  <si>
    <t>greenriveratwarrenbridge</t>
  </si>
  <si>
    <t>GREEN RIVER AT WARREN BRIDGE</t>
  </si>
  <si>
    <t>greenriverbelowfontenelledam</t>
  </si>
  <si>
    <t>GREEN RIVER BELOW FONTENELLE DAM; WY</t>
  </si>
  <si>
    <t>greenriverneargreendale</t>
  </si>
  <si>
    <t>GREEN RIVER NEAR GREENDALE; UT</t>
  </si>
  <si>
    <t>greenriverneargreenriver</t>
  </si>
  <si>
    <t>GREEN RIVER NEAR GREEN RIVER; WY</t>
  </si>
  <si>
    <t>greenrivernearjensen</t>
  </si>
  <si>
    <t>GREEN RIVER NEAR JENSEN; UTAH</t>
  </si>
  <si>
    <t>greenrivernearlinwood</t>
  </si>
  <si>
    <t>GREEN RIVER NEAR LINWOOD; UT</t>
  </si>
  <si>
    <t>grizzlypeakswe</t>
  </si>
  <si>
    <t>GRIZZLY PEAK</t>
  </si>
  <si>
    <t>grosventresummitswe</t>
  </si>
  <si>
    <t>GROS VENTRE SUMMIT</t>
  </si>
  <si>
    <t>gunnisonriveratdelta</t>
  </si>
  <si>
    <t>GUNNISON RIVER AT DELTA; CO.</t>
  </si>
  <si>
    <t>gunnisonriverbelowgunnisontunnel</t>
  </si>
  <si>
    <t>GUNNISON RIVER BELOW GUNNISON TUNNEL</t>
  </si>
  <si>
    <t>gunnisonriverbelowredlandsdiversion</t>
  </si>
  <si>
    <t>GUNNISON RIVER BELOW REDLANDS DIVERSION</t>
  </si>
  <si>
    <t>gunnisonriverneargrandjunction</t>
  </si>
  <si>
    <t>GUNNISON RIVER NEAR GRAND JUNCTION; CO</t>
  </si>
  <si>
    <t>gunnisonriverneargunnison</t>
  </si>
  <si>
    <t>GUNNISON RIVER NEAR GUNNISON; CO</t>
  </si>
  <si>
    <t>gunnisontunnelablateral</t>
  </si>
  <si>
    <t>GUNNISON TUNNEL AB LATERAL</t>
  </si>
  <si>
    <t>gunnisontunnelsouthcanal</t>
  </si>
  <si>
    <t>GUNNISON TUNNEL SOUTH CANAL</t>
  </si>
  <si>
    <t>gunsightpassswe</t>
  </si>
  <si>
    <t>GUNSIGHT PASS</t>
  </si>
  <si>
    <t>hamsforkswe</t>
  </si>
  <si>
    <t>HAMS FORK</t>
  </si>
  <si>
    <t>hardscrabbleswe</t>
  </si>
  <si>
    <t>HARDSCRABBLE</t>
  </si>
  <si>
    <t>harrisflatswe</t>
  </si>
  <si>
    <t>HARRIS FLAT</t>
  </si>
  <si>
    <t>hartmandrawatcortez</t>
  </si>
  <si>
    <t>HARTMAN DRAW AT CORTEZ; CO.</t>
  </si>
  <si>
    <t>haydenforkswe</t>
  </si>
  <si>
    <t>HAYDEN FORK</t>
  </si>
  <si>
    <t>hermosacreeknearhermosa</t>
  </si>
  <si>
    <t>HERMOSA CREEK NEAR HERMOSA; CO.</t>
  </si>
  <si>
    <t>heronreservoir</t>
  </si>
  <si>
    <t>HERON RESERVOIR NR TIERRA AMARILLA</t>
  </si>
  <si>
    <t>hewintaswe</t>
  </si>
  <si>
    <t>HEWINTA</t>
  </si>
  <si>
    <t>hickersonparkswe</t>
  </si>
  <si>
    <t>HICKERSON PARK</t>
  </si>
  <si>
    <t>hogbackcanalflume</t>
  </si>
  <si>
    <t>HOGBACK CANAL FLUME</t>
  </si>
  <si>
    <t>holeinrockswe</t>
  </si>
  <si>
    <t>HOLE-IN-ROCK</t>
  </si>
  <si>
    <t>hoosierpassswe</t>
  </si>
  <si>
    <t>HOOSIER PASS</t>
  </si>
  <si>
    <t>hopewellswe</t>
  </si>
  <si>
    <t>HOPEWELL</t>
  </si>
  <si>
    <t>horseridgeswe</t>
  </si>
  <si>
    <t>HORSE RIDGE</t>
  </si>
  <si>
    <t>hunterwashatbistitradingpost</t>
  </si>
  <si>
    <t>HUNTER WASH AT BISTI TRADING POST; NM</t>
  </si>
  <si>
    <t>huntingtonnorth</t>
  </si>
  <si>
    <t>HUNTINGTON NORTH RESERVOIR</t>
  </si>
  <si>
    <t>hyrum</t>
  </si>
  <si>
    <t>HYRUM RESERVOIR</t>
  </si>
  <si>
    <t>idaradoswe</t>
  </si>
  <si>
    <t>IDARADO</t>
  </si>
  <si>
    <t>independencepassswe</t>
  </si>
  <si>
    <t>INDEPENDENCE PASS</t>
  </si>
  <si>
    <t>indiancanyonswe</t>
  </si>
  <si>
    <t>INDIAN CANYON</t>
  </si>
  <si>
    <t>indiancreekswe</t>
  </si>
  <si>
    <t>INDIAN CREEK</t>
  </si>
  <si>
    <t>ivanhoeswe</t>
  </si>
  <si>
    <t>IVANHOE</t>
  </si>
  <si>
    <t>jacksongulch</t>
  </si>
  <si>
    <t>JACKSON GULCH RESERVOIR</t>
  </si>
  <si>
    <t>jemezcanyonreservoir</t>
  </si>
  <si>
    <t>JEMEZ CANYON RESERVOIR</t>
  </si>
  <si>
    <t>joesvalley</t>
  </si>
  <si>
    <t>JOES VALLEY RESERVOIR</t>
  </si>
  <si>
    <t>jordanelle</t>
  </si>
  <si>
    <t>JORDANELLE RESERVOIR</t>
  </si>
  <si>
    <t>junctioncreekneardurango</t>
  </si>
  <si>
    <t>JUNCTION CREEK NEAR DURANGO; CO.</t>
  </si>
  <si>
    <t>kelleyr.s.swe</t>
  </si>
  <si>
    <t>KELLEY R.S.</t>
  </si>
  <si>
    <t>kendallr.s.swe</t>
  </si>
  <si>
    <t>KENDALL R.S.</t>
  </si>
  <si>
    <t>kilnswe</t>
  </si>
  <si>
    <t>KILN</t>
  </si>
  <si>
    <t>kimberlymineswe</t>
  </si>
  <si>
    <t>KIMBERLY MINE</t>
  </si>
  <si>
    <t>kimmenioilwashnrcrownpoint</t>
  </si>
  <si>
    <t>KIM-ME-NI-OIL WASH NR CROWNPOINT; N.M</t>
  </si>
  <si>
    <t>kimmenioilwashnrlakevalley</t>
  </si>
  <si>
    <t>KIM-ME-NI-OIL WASH NR LAKE VALLEY; N.M.</t>
  </si>
  <si>
    <t>king'scabinswe</t>
  </si>
  <si>
    <t>KING'S CABIN</t>
  </si>
  <si>
    <t>lakefork1swe</t>
  </si>
  <si>
    <t>LAKEFORK #1</t>
  </si>
  <si>
    <t>lakeforkatgateview</t>
  </si>
  <si>
    <t>LAKE FORK AT GATEVIEW; CO</t>
  </si>
  <si>
    <t>lakeforkbasinswe</t>
  </si>
  <si>
    <t>LAKEFORK BASIN</t>
  </si>
  <si>
    <t>lakeireneswe</t>
  </si>
  <si>
    <t>LAKE IRENE</t>
  </si>
  <si>
    <t>lakepowell</t>
  </si>
  <si>
    <t>LAKE POWELL</t>
  </si>
  <si>
    <t>laplatariveratcoloradonewmexicostateline</t>
  </si>
  <si>
    <t>LA PLATA RIVER AT COLORADO-NEW MEXICO STATE LINE</t>
  </si>
  <si>
    <t>laplatariverathesperus</t>
  </si>
  <si>
    <t>LA PLATA RIVER AT HESPERUS; COLORADO</t>
  </si>
  <si>
    <t>laplatarivernearfarmington</t>
  </si>
  <si>
    <t>LA PLATA RIVER NEAR FARMINGTON; NM</t>
  </si>
  <si>
    <t>laplatarivertribnrfarmington</t>
  </si>
  <si>
    <t>LA PLATA RIVER TRIB NR FARMINGTON; N MEX</t>
  </si>
  <si>
    <t>lasalmountainswe</t>
  </si>
  <si>
    <t>LASAL MOUNTAIN</t>
  </si>
  <si>
    <t>lemon</t>
  </si>
  <si>
    <t>LEMON RESERVOIR</t>
  </si>
  <si>
    <t>leopardcreekatnoel</t>
  </si>
  <si>
    <t>LEOPARD CREEK AT NOEL; CO</t>
  </si>
  <si>
    <t>lightnercreekneardurango</t>
  </si>
  <si>
    <t>LIGHTNER CREEK NEAR DURANGO; CO.</t>
  </si>
  <si>
    <t>lightninglakeswe</t>
  </si>
  <si>
    <t>LIGHTNING LAKE</t>
  </si>
  <si>
    <t>lightningridgeswe</t>
  </si>
  <si>
    <t>LIGHTNING RIDGE</t>
  </si>
  <si>
    <t>lilylakeswe</t>
  </si>
  <si>
    <t>LILY LAKE</t>
  </si>
  <si>
    <t>lilypondswe</t>
  </si>
  <si>
    <t>LILY POND</t>
  </si>
  <si>
    <t>limecreeknearsilverton</t>
  </si>
  <si>
    <t>LIME CREEK NEAR SILVERTON; CO.</t>
  </si>
  <si>
    <t>littlebearswe</t>
  </si>
  <si>
    <t>LITTLE BEAR</t>
  </si>
  <si>
    <t>littlegrassyswe</t>
  </si>
  <si>
    <t>LITTLE GRASSY</t>
  </si>
  <si>
    <t>littlenavajorbllosodivdam</t>
  </si>
  <si>
    <t>LITTLE NAVAJO R BL OSO DIV DAM; NR CHROMO;</t>
  </si>
  <si>
    <t>littlenavajoriveratchromo</t>
  </si>
  <si>
    <t>LITTLE NAVAJO RIVER AT CHROMO; CO.</t>
  </si>
  <si>
    <t>littleosodiversion</t>
  </si>
  <si>
    <t>LITTLE OSO DIVERSION NR CHROMO</t>
  </si>
  <si>
    <t>littlesnakerivernearlily</t>
  </si>
  <si>
    <t>LITTLE SNAKE RIVER NEAR LILY; CO</t>
  </si>
  <si>
    <t>littlesnakerivernearslaterco</t>
  </si>
  <si>
    <t>LITTLE SNAKE RIVER NEAR SLATER CO.</t>
  </si>
  <si>
    <t>lizardheadpassswe</t>
  </si>
  <si>
    <t>LIZARD HEAD PASS</t>
  </si>
  <si>
    <t>loneconeswe</t>
  </si>
  <si>
    <t>LONE CONE</t>
  </si>
  <si>
    <t>longvalleyjctswe</t>
  </si>
  <si>
    <t>LONG VALLEY JCT</t>
  </si>
  <si>
    <t>lookoutpeakswe</t>
  </si>
  <si>
    <t>LOOKOUT PEAK</t>
  </si>
  <si>
    <t>loomisparkswe</t>
  </si>
  <si>
    <t>LOOMIS PARK</t>
  </si>
  <si>
    <t>lospinosriveratlaboca</t>
  </si>
  <si>
    <t>LOS PINOS RIVER AT LA BOCA; CO.</t>
  </si>
  <si>
    <t>lospinosriverblovallecresnrbayfield</t>
  </si>
  <si>
    <t>LOS PINOS RIVER BLO VALLEC RES NR BAYFIELD; CO</t>
  </si>
  <si>
    <t>lospinosrivernearbayfield</t>
  </si>
  <si>
    <t>LOS PINOS RIVER NEAR BAYFIELD; CO.</t>
  </si>
  <si>
    <t>lospinosriverneariganacio</t>
  </si>
  <si>
    <t>LOS PINOS RIVER NEAR IGANACIO; CO</t>
  </si>
  <si>
    <t>lospinosrivernearortiz</t>
  </si>
  <si>
    <t>LOS PINOS RIVER NEAR ORTIZ</t>
  </si>
  <si>
    <t>lostcanyoncreekneardolores</t>
  </si>
  <si>
    <t>LOST CANYON CREEK NEAR DOLORES; COLORADO</t>
  </si>
  <si>
    <t>lostcreek</t>
  </si>
  <si>
    <t>LOST CREEK RESERVOIR</t>
  </si>
  <si>
    <t>lostdogswe</t>
  </si>
  <si>
    <t>LOST DOG</t>
  </si>
  <si>
    <t>louismeadowswe</t>
  </si>
  <si>
    <t>LOUIS MEADOW</t>
  </si>
  <si>
    <t>lowerwillowcreekaboveheronreservoir</t>
  </si>
  <si>
    <t>LOWER WILLOW CREEK ABOVE HERON RESERVOIR</t>
  </si>
  <si>
    <t>lynxpassswe</t>
  </si>
  <si>
    <t>LYNX PASS</t>
  </si>
  <si>
    <t>mammothcottonwoodswe</t>
  </si>
  <si>
    <t>MAMMOTH-COTTONWOOD</t>
  </si>
  <si>
    <t>mancosriverbelowjohnsoncanyonnrcortez</t>
  </si>
  <si>
    <t>MANCOS RIVER BELOW JOHNSON CANYON NR CORTEZ;</t>
  </si>
  <si>
    <t>mancosrivernearcortez</t>
  </si>
  <si>
    <t>MANCOS RIVER NEAR CORTEZ; CO.</t>
  </si>
  <si>
    <t>mancosrivernearmancos</t>
  </si>
  <si>
    <t>MANCOS RIVER NEAR MANCOS; COLORADO</t>
  </si>
  <si>
    <t>mancosriverneartowaoc</t>
  </si>
  <si>
    <t>MANCOS RIVER NEAR TOWAOC; CO.</t>
  </si>
  <si>
    <t>mancosswe</t>
  </si>
  <si>
    <t>MANCOS</t>
  </si>
  <si>
    <t>mcclurepassswe</t>
  </si>
  <si>
    <t>MC CLURE PASS</t>
  </si>
  <si>
    <t>mccoyparkswe</t>
  </si>
  <si>
    <t>MCCOY PARK</t>
  </si>
  <si>
    <t>mcculloughspdiversionnearhoosierpass</t>
  </si>
  <si>
    <t>MCCULLOUGH-SP-DIVERSION NEAR HOOSIER PASS; CO.</t>
  </si>
  <si>
    <t>mcelmocreekabovealkalicanyon</t>
  </si>
  <si>
    <t>MCELMO CREEK ABOVE ALKALI CANYON; NR CORTEZ;</t>
  </si>
  <si>
    <t>mcelmocreekbelowcortez</t>
  </si>
  <si>
    <t>MCELMO CREEK BELOW CORTEZ; CO.</t>
  </si>
  <si>
    <t>mcelmocreeknearbluff</t>
  </si>
  <si>
    <t>MCELMO CREEK NEAR BLUFF; UTAH</t>
  </si>
  <si>
    <t>mcelmocreeknearcoloradoutahstateline</t>
  </si>
  <si>
    <t>MCELMO CREEK NEAR COLORADO-UTAH STATE LINE</t>
  </si>
  <si>
    <t>mcelmocreeknearcortez</t>
  </si>
  <si>
    <t>MCELMO CREEK NEAR CORTEZ; CO.</t>
  </si>
  <si>
    <t>mcphee</t>
  </si>
  <si>
    <t>MCPHEE RESERVOIR</t>
  </si>
  <si>
    <t>medanopassswe</t>
  </si>
  <si>
    <t>MEDANO PASS</t>
  </si>
  <si>
    <t>meekscabin</t>
  </si>
  <si>
    <t>MEEKS CABIN RESERVOIR</t>
  </si>
  <si>
    <t>merchantvalleyswe</t>
  </si>
  <si>
    <t>MERCHANT VALLEY</t>
  </si>
  <si>
    <t>mesalakesswe</t>
  </si>
  <si>
    <t>MESA LAKES</t>
  </si>
  <si>
    <t>middlecreekswe</t>
  </si>
  <si>
    <t>MIDDLE CREEK</t>
  </si>
  <si>
    <t>middleforkcampswe</t>
  </si>
  <si>
    <t>MIDDLE FORK CAMP</t>
  </si>
  <si>
    <t>middleforkpiedrariverneardyke</t>
  </si>
  <si>
    <t>MIDDLE FORK PIEDRA RIVER NEAR DYKE; CO.</t>
  </si>
  <si>
    <t>middleforkpiedrarivernrpagosasprings</t>
  </si>
  <si>
    <t>MIDDLE FORK PIEDRA RIVER NR PAGOSA SPRINGS;</t>
  </si>
  <si>
    <t>middlemancosrivernearmancos</t>
  </si>
  <si>
    <t>MIDDLE MANCOS RIVER NEAR MANCOS; CO.</t>
  </si>
  <si>
    <t>midwayvalleyswe</t>
  </si>
  <si>
    <t>MIDWAY VALLEY</t>
  </si>
  <si>
    <t>milldnorthswe</t>
  </si>
  <si>
    <t>MILL-D NORTH</t>
  </si>
  <si>
    <t>mineralcreekabovesilverton</t>
  </si>
  <si>
    <t>MINERAL CREEK ABOVE SILVERTON; CO.</t>
  </si>
  <si>
    <t>mineralcreekatsilverton</t>
  </si>
  <si>
    <t>MINERAL CREEK AT SILVERTON; CO</t>
  </si>
  <si>
    <t>mineralcreeknearsilverton</t>
  </si>
  <si>
    <t>MINERAL CREEK NEAR SILVERTON; CO.</t>
  </si>
  <si>
    <t>mineralcreekswe</t>
  </si>
  <si>
    <t>MINERAL CREEK</t>
  </si>
  <si>
    <t>minnesotacreeknearpaonia</t>
  </si>
  <si>
    <t>MINNESOTA CREEK NEAR PAONIA</t>
  </si>
  <si>
    <t>moffatwatertunnelateastportal</t>
  </si>
  <si>
    <t>MOFFAT WATER TUNNEL AT EAST PORTAL</t>
  </si>
  <si>
    <t>molaslakeswe</t>
  </si>
  <si>
    <t>MOLAS LAKE</t>
  </si>
  <si>
    <t>montecristodiversionnearhoosierpass</t>
  </si>
  <si>
    <t>MONTE CRISTO DIVERSION NEAR HOOSIER PASS; CO.</t>
  </si>
  <si>
    <t>montecristoswe</t>
  </si>
  <si>
    <t>MONTE CRISTO</t>
  </si>
  <si>
    <t>montezumacreekatgolfcourseatmonticello</t>
  </si>
  <si>
    <t>MONTEZUMA CREEK AT GOLF COURSE AT MONTICELLO</t>
  </si>
  <si>
    <t>moonlake</t>
  </si>
  <si>
    <t>MOON LAKE RESERVOIR</t>
  </si>
  <si>
    <t>morrowpoint</t>
  </si>
  <si>
    <t>MORROW POINT RESERVOIR</t>
  </si>
  <si>
    <t>mosbymtn.swe</t>
  </si>
  <si>
    <t>MOSBY MTN.</t>
  </si>
  <si>
    <t>mudcreekatstatehighway32</t>
  </si>
  <si>
    <t>MUD CREEK AT STATE HIGHWAY 32; NEAR CORTEZ;</t>
  </si>
  <si>
    <t>mudcreeknearcortez</t>
  </si>
  <si>
    <t>MUD CREEK NEAR CORTEZ; CO.</t>
  </si>
  <si>
    <t>muddycreekabovepaoniareservoirnearpaonia</t>
  </si>
  <si>
    <t>MUDDY CREEK ABOVE PAONIA RESERVOIR NEAR PAONIA; CO</t>
  </si>
  <si>
    <t>muddycreekbelowpaonianearsummerset</t>
  </si>
  <si>
    <t>MUDDY CREEK BELOW PAONIA NEAR SUMMERSET; CO</t>
  </si>
  <si>
    <t>nambefalls</t>
  </si>
  <si>
    <t>NAMBE FALLS RESERVOIR</t>
  </si>
  <si>
    <t>nastlakeswe</t>
  </si>
  <si>
    <t>NAST LAKE</t>
  </si>
  <si>
    <t>navajo</t>
  </si>
  <si>
    <t>NAVAJO RESERVOIR</t>
  </si>
  <si>
    <t>navajoriverabovechromo</t>
  </si>
  <si>
    <t>NAVAJO RIVER ABOVE CHROMO; CO.</t>
  </si>
  <si>
    <t>navajoriveratedith</t>
  </si>
  <si>
    <t>NAVAJO RIVER AT EDITH; CO.</t>
  </si>
  <si>
    <t>navajoriverblosodiversiondamnrchromo</t>
  </si>
  <si>
    <t>NAVAJO RIVER BL OSO DIVERSION DAM NR CHROMO;</t>
  </si>
  <si>
    <t>navajorivernearchromo</t>
  </si>
  <si>
    <t>NAVAJO RIVER NEAR CHROMO; COLORADO</t>
  </si>
  <si>
    <t>navajowashneartowaoc</t>
  </si>
  <si>
    <t>NAVAJO WASH NEAR TOWAOC; CO</t>
  </si>
  <si>
    <t>newforklakeswe</t>
  </si>
  <si>
    <t>NEW FORK LAKE</t>
  </si>
  <si>
    <t>newton</t>
  </si>
  <si>
    <t>NEWTON RESERVOIR</t>
  </si>
  <si>
    <t>nforkmountezumacratmonticello</t>
  </si>
  <si>
    <t>N.FORK MOUNTEZUMA CR. AT MONTICELLO;UT.</t>
  </si>
  <si>
    <t>northcostillaswe</t>
  </si>
  <si>
    <t>NORTH COSTILLA</t>
  </si>
  <si>
    <t>northcreekabvrangerstatnrmonticello</t>
  </si>
  <si>
    <t>NORTH CREEK ABV. RANGER STAT NR MONTICELLO;</t>
  </si>
  <si>
    <t>northfloodwaychannelnearalameda</t>
  </si>
  <si>
    <t>NORTH FLOODWAY CHANNEL NEAR ALAMEDA; NM</t>
  </si>
  <si>
    <t>northforkgunnisonriveratconfluence</t>
  </si>
  <si>
    <t>NORTH FORK GUNNISON RIVER ABOVE MOUTH NEAR LAZEAR</t>
  </si>
  <si>
    <t>northforkgunnisonrivernearsomerset</t>
  </si>
  <si>
    <t>NORTH FORK GUNNISON RIVER NEAR SOMERSET</t>
  </si>
  <si>
    <t>northlosttrailswe</t>
  </si>
  <si>
    <t>NORTH LOST TRAIL</t>
  </si>
  <si>
    <t>ohiocreekabovemouth</t>
  </si>
  <si>
    <t>OHIO CREEK ABOVE MOUTH; NEAR GUNNISON CO</t>
  </si>
  <si>
    <t>ohiocreeknearbaldwin</t>
  </si>
  <si>
    <t>OHIO CREEK NEAR BALDWIN; CO</t>
  </si>
  <si>
    <t>oldbattleswe</t>
  </si>
  <si>
    <t>OLD BATTLE</t>
  </si>
  <si>
    <t>osodiversion</t>
  </si>
  <si>
    <t>OSO DIVERSION NEAR CHROMO</t>
  </si>
  <si>
    <t>overlandres.swe</t>
  </si>
  <si>
    <t>OVERLAND RES.</t>
  </si>
  <si>
    <t>panchuelaswe</t>
  </si>
  <si>
    <t>PANCHUELA</t>
  </si>
  <si>
    <t>paonia</t>
  </si>
  <si>
    <t>PAONIA RESERVOIR; COLORADO</t>
  </si>
  <si>
    <t>pariariveratleesferry</t>
  </si>
  <si>
    <t>PARIA RIVER AT LEES FERRY; AZ</t>
  </si>
  <si>
    <t>parkconeswe</t>
  </si>
  <si>
    <t>PARK CONE</t>
  </si>
  <si>
    <t>parkreservoirswe</t>
  </si>
  <si>
    <t>PARK RESERVOIR</t>
  </si>
  <si>
    <t>parley'ssummitswe</t>
  </si>
  <si>
    <t>PARLEY'S SUMMIT</t>
  </si>
  <si>
    <t>parrishcreekswe</t>
  </si>
  <si>
    <t>PARRISH CREEK</t>
  </si>
  <si>
    <t>paysonr.s.swe</t>
  </si>
  <si>
    <t>PAYSON R.S.</t>
  </si>
  <si>
    <t>pecosratdamsite3nrcarlsbad</t>
  </si>
  <si>
    <t>PECOS R AT DAMSITE 3 NR CARLSBAD; NM</t>
  </si>
  <si>
    <t>pecosriverabhugginscrnrroswell</t>
  </si>
  <si>
    <t>PECOS RIVER AB. HUGGINS CR. NR. ROSWELL; NM</t>
  </si>
  <si>
    <t>pecosriveraboveacme</t>
  </si>
  <si>
    <t>PECOS RIVER ABOVE ACME; NM</t>
  </si>
  <si>
    <t>pecosriverabovecanondelutanearcolonias</t>
  </si>
  <si>
    <t>PECOS RIVER ABOVE CANON DEL UTA NEAR COLONIAS</t>
  </si>
  <si>
    <t>pecosriverabsevenriversnrlakewood</t>
  </si>
  <si>
    <t>PECOS RIVER AB SEVEN RIVERS NR LAKEWOOD; NM</t>
  </si>
  <si>
    <t>pecosriveratcarlsbad</t>
  </si>
  <si>
    <t>PECOS RIVER AT CARLSBAD</t>
  </si>
  <si>
    <t>pecosriveratpiercecanyoncrossing</t>
  </si>
  <si>
    <t>PECOS RIVER AT PIERCE CANYON CROSSING NEAR MALAGA</t>
  </si>
  <si>
    <t>pecosriveratsantarosa</t>
  </si>
  <si>
    <t>PECOS RIVER AT SANTA ROSA; NM</t>
  </si>
  <si>
    <t>pecosriverbelowfortsumner</t>
  </si>
  <si>
    <t>PECOS RIVER BELOW FORT SUMNER; NM</t>
  </si>
  <si>
    <t>pecosriverbelowmcmillandam</t>
  </si>
  <si>
    <t>PECOS RIVER BELOW MCMILLAN DAM; NM</t>
  </si>
  <si>
    <t>pecosriverbelowsixmiledrawnearroswell</t>
  </si>
  <si>
    <t>PECOS RIVER BELOW SIXMILE DRAW NEAR ROSWELL; NM</t>
  </si>
  <si>
    <t>pecosriverblyesoarroyonrftsumner</t>
  </si>
  <si>
    <t>PECOS RIVER BL. YESO ARROYO NR. FT. SUMNER; NM</t>
  </si>
  <si>
    <t>pecosriverkaiserchannelnearlakewood</t>
  </si>
  <si>
    <t>PECOS RIVER (KAISER CHANNEL) NEAR LAKEWOOD</t>
  </si>
  <si>
    <t>pecosrivernearfortsumner</t>
  </si>
  <si>
    <t>PECOS RIVER NEAR FORT SUMNER</t>
  </si>
  <si>
    <t>pecosrivernearhagerman</t>
  </si>
  <si>
    <t>PECOS RIVER NEAR HAGERMAN; NM</t>
  </si>
  <si>
    <t>pecosrivernearlakearthur</t>
  </si>
  <si>
    <t>PECOS RIVER NEAR LAKE ARTHUR; NM</t>
  </si>
  <si>
    <t>phantomvalleyswe</t>
  </si>
  <si>
    <t>PHANTOM VALLEY</t>
  </si>
  <si>
    <t>picklekegswe</t>
  </si>
  <si>
    <t>PICKLE KEG</t>
  </si>
  <si>
    <t>piedraratbridgerngrsta</t>
  </si>
  <si>
    <t>PIEDRA R AT BRIDGE RNGR STA; NR PAGOSA SPGS;</t>
  </si>
  <si>
    <t>piedrariverneararboles</t>
  </si>
  <si>
    <t>PIEDRA RIVER NEAR ARBOLES; CO.</t>
  </si>
  <si>
    <t>piedrarivernearpiedra</t>
  </si>
  <si>
    <t>PIEDRA RIVER NEAR PIEDRA; CO.</t>
  </si>
  <si>
    <t>pinecreekswe</t>
  </si>
  <si>
    <t>PINE CREEK</t>
  </si>
  <si>
    <t>pineview</t>
  </si>
  <si>
    <t>PINEVIEW RESERVOIR</t>
  </si>
  <si>
    <t>platororeservoir</t>
  </si>
  <si>
    <t>PLATORO RESERVOIR NEAR PAGOSA SPRINGS; COLORADO</t>
  </si>
  <si>
    <t>porphyrycreekswe</t>
  </si>
  <si>
    <t>PORPHYRY CREEK</t>
  </si>
  <si>
    <t>pricerivernearwoodside</t>
  </si>
  <si>
    <t>PRICE RIVER NEAR WOODSIDE; UT</t>
  </si>
  <si>
    <t>quartzcreeknearohiocity</t>
  </si>
  <si>
    <t>QUARTZ CREEK NEAR OHIO CITY; CO</t>
  </si>
  <si>
    <t>quemazonswe</t>
  </si>
  <si>
    <t>QUEMAZON</t>
  </si>
  <si>
    <t>rabbitearsswe</t>
  </si>
  <si>
    <t>RABBIT EARS</t>
  </si>
  <si>
    <t>recapturecrbljohnsoncrnrblanding</t>
  </si>
  <si>
    <t>RECAPTURE CR BL JOHNSON CR NR BLANDING;UT.</t>
  </si>
  <si>
    <t>recapturecreeknrblanding</t>
  </si>
  <si>
    <t>RECAPTURE CREEK NR BLANDING;UT.</t>
  </si>
  <si>
    <t>redfleet</t>
  </si>
  <si>
    <t>RED FLEET RESERVOIR</t>
  </si>
  <si>
    <t>redlandscanalneargrandjunction</t>
  </si>
  <si>
    <t>REDLANDS CANAL NEAR GRAND JUNCTION</t>
  </si>
  <si>
    <t>redmountainpassswe</t>
  </si>
  <si>
    <t>RED MOUNTAIN PASS</t>
  </si>
  <si>
    <t>redpineridgeswe</t>
  </si>
  <si>
    <t>RED PINE RIDGE</t>
  </si>
  <si>
    <t>redriverblfishhatchery</t>
  </si>
  <si>
    <t>RED RIVER BELOW FISH HATCHERY; NEAR QUESTA</t>
  </si>
  <si>
    <t>redrivernearquesta</t>
  </si>
  <si>
    <t>RED RIVER NEAR QUESTA; NM</t>
  </si>
  <si>
    <t>redriverpass2swe</t>
  </si>
  <si>
    <t>RED RIVER PASS #2</t>
  </si>
  <si>
    <t>ridgway</t>
  </si>
  <si>
    <t>RIDGWAY RESERVOIR</t>
  </si>
  <si>
    <t>riflecreekbelowriflegapreservoir</t>
  </si>
  <si>
    <t>RIFLE CREEK BELOW RIFLE GAP RESERVOIR; CO</t>
  </si>
  <si>
    <t>riflegap</t>
  </si>
  <si>
    <t>RIFLE GAP RESERVOIR</t>
  </si>
  <si>
    <t>rioblanconearpagosasprings</t>
  </si>
  <si>
    <t>RIO BLANCO NEAR PAGOSA SPRINGS; CO.</t>
  </si>
  <si>
    <t>rioblancorbloblancodivdam</t>
  </si>
  <si>
    <t>RIO BLANCO R BLO BLANCO DIV DAM; NR PAGOSA SP; CO</t>
  </si>
  <si>
    <t>riofelixatoldhwybrdnrhagerman</t>
  </si>
  <si>
    <t>RIO FELIX AT OLD HWY BRD NR HAGERMAN; NM</t>
  </si>
  <si>
    <t>riograndeabovehwy380nearsanantonio</t>
  </si>
  <si>
    <t>RIO GRANDE ABOVE HWY 380 NEAR SAN ANTONIO</t>
  </si>
  <si>
    <t>riograndeatalamedabridgeatalameda</t>
  </si>
  <si>
    <t>RIO GRANDE AT ALAMEDA BRIDGE AT ALAMEDA; NM</t>
  </si>
  <si>
    <t>riograndeatalbuquerque</t>
  </si>
  <si>
    <t>RIO GRANDE AT ALBUQUERQUE</t>
  </si>
  <si>
    <t>riograndeatbridgenearescondida</t>
  </si>
  <si>
    <t>RIO GRANDE AT BRIDGE NEAR ESCONDIDA</t>
  </si>
  <si>
    <t>riograndeatcanutillo</t>
  </si>
  <si>
    <t>RIO GRANDE AT CANUTILLO</t>
  </si>
  <si>
    <t>riograndeatelpaso</t>
  </si>
  <si>
    <t>RIO GRANDE AT EL PASO (COURCHESNE BRIDGE)</t>
  </si>
  <si>
    <t>riograndeatembudo</t>
  </si>
  <si>
    <t>RIO GRANDE AT EMBUDO; NM</t>
  </si>
  <si>
    <t>riograndeatfortquitman</t>
  </si>
  <si>
    <t>RIO GRANDE AT FORT QUITMAN; TEXAS</t>
  </si>
  <si>
    <t>riograndeathayner'sbridge</t>
  </si>
  <si>
    <t>RIO GRANDE AT HAYNER'S BRIDGE NEAR RINCON</t>
  </si>
  <si>
    <t>riograndeatisletalakesnrisleta</t>
  </si>
  <si>
    <t>RIO GRANDE AT ISLETA LAKES NR ISLETA; NM</t>
  </si>
  <si>
    <t>riograndeatotowibridge</t>
  </si>
  <si>
    <t>RIO GRANDE AT OTOWI BRIDGE; NM</t>
  </si>
  <si>
    <t>riograndeatsanfelipe</t>
  </si>
  <si>
    <t>RIO GRANDE AT SAN FELIPE; NM</t>
  </si>
  <si>
    <t>riograndeatstatehwy346nearbosque</t>
  </si>
  <si>
    <t>RIO GRANDE AT STATE HWY 346 NEAR BOSQUE; NM</t>
  </si>
  <si>
    <t>riograndebelowcaballodam</t>
  </si>
  <si>
    <t>RIO GRANDE BELOW CABALLO DAM</t>
  </si>
  <si>
    <t>riograndebelowcochitidam</t>
  </si>
  <si>
    <t>RIO GRANDE BELOW COCHITI DAM; NM</t>
  </si>
  <si>
    <t>riograndebelowleasburgdiversiondam</t>
  </si>
  <si>
    <t>RIO GRANDE BELOW LEASBURG DIVERSION DAM</t>
  </si>
  <si>
    <t>riograndebelowmesilladiversiondam</t>
  </si>
  <si>
    <t>RIO GRANDE BELOW MESILLA DIVERSION DAM</t>
  </si>
  <si>
    <t>riograndeblamericandam</t>
  </si>
  <si>
    <t>RIO GRANDE BELOW AMERICAN DAM NEAR EL PASO</t>
  </si>
  <si>
    <t>riograndeblebuttedamusgs</t>
  </si>
  <si>
    <t>RIO GRANDE BELOW ELEPHANT BUTTE DAM (USGS)</t>
  </si>
  <si>
    <t>riograndeblwtaosjunctionbridgeneartaos</t>
  </si>
  <si>
    <t>RIO GRANDE BLW TAOS JUNCTION BRIDGE NEAR TAOS; NM</t>
  </si>
  <si>
    <t>riograndeconveyancechannelatsanacacia</t>
  </si>
  <si>
    <t>RIO GRANDE CONVEYANCE CHANNEL AT SAN ACACIA</t>
  </si>
  <si>
    <t>riograndeconveyancechannelatsanmarcial</t>
  </si>
  <si>
    <t>RIO GRANDE CONVEYANCE CHANNEL AT SAN MARCIAL; NM</t>
  </si>
  <si>
    <t>riograndefloodwayatsanacacia</t>
  </si>
  <si>
    <t>RIO GRANDE FLOODWAY AT SAN ACACIA</t>
  </si>
  <si>
    <t>riograndefloodwayatsanmarcial</t>
  </si>
  <si>
    <t>RIO GRANDE FLOODWAY AT SAN MARCIAL; NM</t>
  </si>
  <si>
    <t>riograndefloodwaynearbernardo</t>
  </si>
  <si>
    <t>RIO GRANDE FLOODWAY NEAR BERNARDO; NM</t>
  </si>
  <si>
    <t>riograndenearbosquefarms</t>
  </si>
  <si>
    <t>RIO GRANDE NEAR BOSQUE FARMS</t>
  </si>
  <si>
    <t>riograndenearcerro</t>
  </si>
  <si>
    <t>RIO GRANDE NEAR CERRO; NM</t>
  </si>
  <si>
    <t>riograndeneardelnorte</t>
  </si>
  <si>
    <t>RIO GRANDE NEAR DEL NORTE</t>
  </si>
  <si>
    <t>riograndenearlobatos</t>
  </si>
  <si>
    <t>RIO GRANDE NEAR LOBATOS</t>
  </si>
  <si>
    <t>riograndenralameda</t>
  </si>
  <si>
    <t>RIO GRANDE NR ALAMEDA; NM</t>
  </si>
  <si>
    <t>riohondoatdiamondaranchnrroswell</t>
  </si>
  <si>
    <t>RIO HONDO AT DIAMOND A RANCH NR ROSWELL; NM</t>
  </si>
  <si>
    <t>riohondoatroswell</t>
  </si>
  <si>
    <t>RIO HONDO AT ROSWELL; NM</t>
  </si>
  <si>
    <t>riohondonearroswell</t>
  </si>
  <si>
    <t>RIO HONDO NEAR ROSWELL; NM</t>
  </si>
  <si>
    <t>rioluceroneararroyoseco</t>
  </si>
  <si>
    <t>RIO LUCERO NEAR ARROYO SECO; NM</t>
  </si>
  <si>
    <t>rionambeabovenambefallsdamnearnambe</t>
  </si>
  <si>
    <t>RIO NAMBE ABOVE NAMBE FALLS DAM NEAR NAMBE; NM</t>
  </si>
  <si>
    <t>rionambebelownambefallsdamnearnambe</t>
  </si>
  <si>
    <t>RIO NAMBE BELOW NAMBE FALLS DAM NEAR NAMBE; NM</t>
  </si>
  <si>
    <t>rioojocalienteatlamadera</t>
  </si>
  <si>
    <t>RIO OJO CALIENTE AT LA MADERA; NM</t>
  </si>
  <si>
    <t>riopenascoatdayton</t>
  </si>
  <si>
    <t>RIO PENASCO AT DAYTON NEAR ARTESIA</t>
  </si>
  <si>
    <t>riopenasconeardunken</t>
  </si>
  <si>
    <t>RIO PENASCO NEAR DUNKEN; NM</t>
  </si>
  <si>
    <t>riopenasconearhope</t>
  </si>
  <si>
    <t>RIO PENASCO NEAR HOPE; NM</t>
  </si>
  <si>
    <t>riopueblodetaosbelowloscordovas</t>
  </si>
  <si>
    <t>RIO PUEBLO DE TAOS BELOW LOS CORDOVAS; NM</t>
  </si>
  <si>
    <t>riopueblodetaosneartaos</t>
  </si>
  <si>
    <t>RIO PUEBLO DE TAOS NEAR TAOS; NM</t>
  </si>
  <si>
    <t>riopueblonrpenasco</t>
  </si>
  <si>
    <t>RIO PUEBLO NR PENASCO; NM</t>
  </si>
  <si>
    <t>riopuercoabvarroyochiconrguadalupe</t>
  </si>
  <si>
    <t>RIO PUERCO ABV ARROYO CHICO NR GUADALUPE; NM</t>
  </si>
  <si>
    <t>riopuerconearbernardo</t>
  </si>
  <si>
    <t>RIO PUERCO NEAR BERNARDO; NM</t>
  </si>
  <si>
    <t>rioruidosoatruidoso</t>
  </si>
  <si>
    <t>RIO RUIDOSO AT RUIDOSO; NM</t>
  </si>
  <si>
    <t>ripplecreekswe</t>
  </si>
  <si>
    <t>RIPPLE CREEK</t>
  </si>
  <si>
    <t>robertstunnelateastportalneargrant</t>
  </si>
  <si>
    <t>ROBERTS TUNNEL AT EAST PORTAL NEAR GRANT</t>
  </si>
  <si>
    <t>rockcreekabovesouthforknearhanna</t>
  </si>
  <si>
    <t>ROCK CREEK ABOVE SOUTH FORK NEAR HANNA; UTAH</t>
  </si>
  <si>
    <t>rockcreekswe</t>
  </si>
  <si>
    <t>ROCK CREEK</t>
  </si>
  <si>
    <t>rockportreservoir</t>
  </si>
  <si>
    <t>ROCKPORT RESERVOIR</t>
  </si>
  <si>
    <t>rockyarroyoathighwaybridge</t>
  </si>
  <si>
    <t>ROCKY ARROYO AT HIGHWAY BRIDGE NEAR LAKEWOOD</t>
  </si>
  <si>
    <t>rockybasinsettlemeswe</t>
  </si>
  <si>
    <t>ROCKY BASIN-SETTLEME</t>
  </si>
  <si>
    <t>roubideaucreekatmouthnrdelta</t>
  </si>
  <si>
    <t>ROUBIDEAU CREEK AT MOUTH NR DELTA</t>
  </si>
  <si>
    <t>ruedireservoir</t>
  </si>
  <si>
    <t>RUEDI RESERVOIR</t>
  </si>
  <si>
    <t>saintelmoswe</t>
  </si>
  <si>
    <t>SAINT ELMO</t>
  </si>
  <si>
    <t>saltcreeknearoxford</t>
  </si>
  <si>
    <t>SALT CREEK NEAR OXFORD; CO.</t>
  </si>
  <si>
    <t>sanantonioriveratortiz</t>
  </si>
  <si>
    <t>SAN ANTONIO RIVER AT ORTIZ</t>
  </si>
  <si>
    <t>sandgatedivfromftsumnercanalatftsumner</t>
  </si>
  <si>
    <t>SAND GATE DIV FROM FT SUMNER CANAL AT FT SUMNER</t>
  </si>
  <si>
    <t>sandstonersswe</t>
  </si>
  <si>
    <t>SANDSTONE RS</t>
  </si>
  <si>
    <t>sanjuanriveratbloomfield</t>
  </si>
  <si>
    <t>SAN JUAN RIVER AT BLOOMFIELD; NM</t>
  </si>
  <si>
    <t>sanjuanriveratfarmington</t>
  </si>
  <si>
    <t>SAN JUAN RIVER AT FARMINGTON; NM</t>
  </si>
  <si>
    <t>sanjuanriveratfourcorners</t>
  </si>
  <si>
    <t>SAN JUAN RIVER AT FOUR CORNERS NEAR TOWAOC</t>
  </si>
  <si>
    <t>sanjuanriverathammondbrnrbloomfield</t>
  </si>
  <si>
    <t>SAN JUAN RIVER AT HAMMOND BR NR BLOOMFIELD;N</t>
  </si>
  <si>
    <t>sanjuanriveratpagosasprings</t>
  </si>
  <si>
    <t>SAN JUAN RIVER AT PAGOSA SPRINGS</t>
  </si>
  <si>
    <t>sanjuanriveratshiprock</t>
  </si>
  <si>
    <t>SAN JUAN RIVER AT SHIPROCK; NM</t>
  </si>
  <si>
    <t>sanjuanriverneararchuleta</t>
  </si>
  <si>
    <t>SAN JUAN RIVER NEAR ARCHULETA;NM</t>
  </si>
  <si>
    <t>sanjuanrivernearbluff</t>
  </si>
  <si>
    <t>SAN JUAN RIVER NEAR BLUFF; UT</t>
  </si>
  <si>
    <t>sanjuanrivernearcarracas</t>
  </si>
  <si>
    <t>SAN JUAN RIVER NEAR CARRACAS; CO.</t>
  </si>
  <si>
    <t>sanjuanrnrblanco</t>
  </si>
  <si>
    <t>SAN JUAN R NR BLANCO;NM</t>
  </si>
  <si>
    <t>sanjuanrnrfruitland</t>
  </si>
  <si>
    <t>SAN JUAN R NR FRUITLAND; NM</t>
  </si>
  <si>
    <t>sanmiguelriveratnaturita</t>
  </si>
  <si>
    <t>SAN MIGUEL RIVER AT NATURITA; CO</t>
  </si>
  <si>
    <t>sanmiguelriveraturavan</t>
  </si>
  <si>
    <t>SAN MIGUEL RIVER AT URAVAN; CO</t>
  </si>
  <si>
    <t>sanmiguelriverneartelluride</t>
  </si>
  <si>
    <t>SAN MIGUEL RIVER NEAR TELLURIDE; CO</t>
  </si>
  <si>
    <t>sanrafaelriverneargreenriver</t>
  </si>
  <si>
    <t>SAN RAFAEL RIVER NEAR GREEN RIVER; UT</t>
  </si>
  <si>
    <t>santafeswe</t>
  </si>
  <si>
    <t>SANTA FE</t>
  </si>
  <si>
    <t>santarosareservoir</t>
  </si>
  <si>
    <t>SANTA ROSA RESERVOIR</t>
  </si>
  <si>
    <t>santistevancreeknearcostilla</t>
  </si>
  <si>
    <t>SANTISTEVAN CREEK NEAR COSTILLA; NM</t>
  </si>
  <si>
    <t>sargentsmesaswe</t>
  </si>
  <si>
    <t>SARGENTS MESA</t>
  </si>
  <si>
    <t>schofieldpassswe</t>
  </si>
  <si>
    <t>SCHOFIELD PASS</t>
  </si>
  <si>
    <t>scofield</t>
  </si>
  <si>
    <t>SCOFIELD RESERVOIR</t>
  </si>
  <si>
    <t>scotchcreekswe</t>
  </si>
  <si>
    <t>SCOTCH CREEK</t>
  </si>
  <si>
    <t>seeleycreekswe</t>
  </si>
  <si>
    <t>SEELEY CREEK</t>
  </si>
  <si>
    <t>senoritadivide2swe</t>
  </si>
  <si>
    <t>SENORITA DIVIDE #2</t>
  </si>
  <si>
    <t>shadowmountainreservoir</t>
  </si>
  <si>
    <t>SHADOW MOUNTAIN RESERVOIR</t>
  </si>
  <si>
    <t>shumwayarroyonearfruitland</t>
  </si>
  <si>
    <t>SHUMWAY ARROYO NEAR FRUITLAND ; NM</t>
  </si>
  <si>
    <t>shumwayarroyonearwaterflow</t>
  </si>
  <si>
    <t>SHUMWAY ARROYO NEAR WATERFLOW; NM</t>
  </si>
  <si>
    <t>silimaincanalatheadatcochiti</t>
  </si>
  <si>
    <t>SILI MAIN CANAL (AT HEAD) AT COCHITI</t>
  </si>
  <si>
    <t>silverjack</t>
  </si>
  <si>
    <t>SILVER JACK RESERVOIR</t>
  </si>
  <si>
    <t>slaterforknearslaterco</t>
  </si>
  <si>
    <t>SLATER FORK NEAR SLATER CO.</t>
  </si>
  <si>
    <t>slumgullionswe</t>
  </si>
  <si>
    <t>SLUMGULLION</t>
  </si>
  <si>
    <t>smith&amp;morehousereservoir</t>
  </si>
  <si>
    <t>SMITH &amp; MOREHOUSE RESERVOIR</t>
  </si>
  <si>
    <t>smith&amp;morehouseswe</t>
  </si>
  <si>
    <t>SMITH &amp; MOREHOUSE</t>
  </si>
  <si>
    <t>sniderbasinswe</t>
  </si>
  <si>
    <t>SNIDER BASIN</t>
  </si>
  <si>
    <t>snowbirdswe</t>
  </si>
  <si>
    <t>SNOWBIRD</t>
  </si>
  <si>
    <t>soapcreeknearsapinero</t>
  </si>
  <si>
    <t>SOAP CREEK NEAR SAPINERO; CO</t>
  </si>
  <si>
    <t>soldiercreekreservoir</t>
  </si>
  <si>
    <t>SOLDIER CREEK RESERVOIR</t>
  </si>
  <si>
    <t>southcolonyswe</t>
  </si>
  <si>
    <t>SOUTH COLONY</t>
  </si>
  <si>
    <t>southcreekabovereservoirnearmonticello</t>
  </si>
  <si>
    <t>SOUTH CREEK ABOVE RESERVOIR NEAR MONTICELLO</t>
  </si>
  <si>
    <t>southsevenriversnearlakewood</t>
  </si>
  <si>
    <t>SOUTH SEVEN RIVERS NEAR LAKEWOOD</t>
  </si>
  <si>
    <t>springcreekabvdiversions</t>
  </si>
  <si>
    <t>SPRING CREEK ABV DIVERSIONS; NR MONTICELLO;</t>
  </si>
  <si>
    <t>springcreekatlaboca</t>
  </si>
  <si>
    <t>SPRING CREEK AT LA BOCA; CO.</t>
  </si>
  <si>
    <t>springcreekdivideswe</t>
  </si>
  <si>
    <t>SPRING CREEK DIVIDE</t>
  </si>
  <si>
    <t>spudmountainswe</t>
  </si>
  <si>
    <t>SPUD MOUNTAIN</t>
  </si>
  <si>
    <t>starvation</t>
  </si>
  <si>
    <t>STARVATION RESERVOIR</t>
  </si>
  <si>
    <t>stateline</t>
  </si>
  <si>
    <t>STATELINE RESERVOIR</t>
  </si>
  <si>
    <t>steelcreekparkswe</t>
  </si>
  <si>
    <t>STEEL CREEK PARK</t>
  </si>
  <si>
    <t>steinaker</t>
  </si>
  <si>
    <t>STEINAKER RESERVOIR</t>
  </si>
  <si>
    <t>stillwatercreekswe</t>
  </si>
  <si>
    <t>STILLWATER CREEK</t>
  </si>
  <si>
    <t>strawberrydivideswe</t>
  </si>
  <si>
    <t>STRAWBERRY DIVIDE</t>
  </si>
  <si>
    <t>strawberryreservoir</t>
  </si>
  <si>
    <t>STRAWBERRY RESERVOIR</t>
  </si>
  <si>
    <t>strawberryreservoirexpanded</t>
  </si>
  <si>
    <t>STRAWBERRY RESERVOIR (EXPANDED)</t>
  </si>
  <si>
    <t>strawberryriveratpinnaclesnearfruitland</t>
  </si>
  <si>
    <t>STRAWBERRY RIVER AT PINNACLES NEAR FRUITLAND</t>
  </si>
  <si>
    <t>stumplakesswe</t>
  </si>
  <si>
    <t>STUMP LAKES</t>
  </si>
  <si>
    <t>summitranchswe</t>
  </si>
  <si>
    <t>SUMMIT RANCH</t>
  </si>
  <si>
    <t>sumner</t>
  </si>
  <si>
    <t>LAKE SUMNER NR FORT SUMNER</t>
  </si>
  <si>
    <t>surpluscanal@saltlakecity</t>
  </si>
  <si>
    <t>SURPLUS CANAL @ SALT LAKE CITY; UT</t>
  </si>
  <si>
    <t>taylorpark</t>
  </si>
  <si>
    <t>TAYLOR PARK RESERVOIR</t>
  </si>
  <si>
    <t>taylorriveratalmont</t>
  </si>
  <si>
    <t>TAYLOR RIVER AT ALMONT; CO</t>
  </si>
  <si>
    <t>taylorriverattaylorpark</t>
  </si>
  <si>
    <t>TAYLOR RIVER ABOVE TAYLOR PARK; CO</t>
  </si>
  <si>
    <t>taylorriverbelowtaylorparkreservoir</t>
  </si>
  <si>
    <t>TAYLOR RIVER BELOW TAYLOR PARK RESERVOIR; CO</t>
  </si>
  <si>
    <t>teecniditsowashnrburnham</t>
  </si>
  <si>
    <t>TEEC-NI-DI-TSO WASH NR BURNHAM; NM</t>
  </si>
  <si>
    <t>templeforkswe</t>
  </si>
  <si>
    <t>TEMPLE FORK</t>
  </si>
  <si>
    <t>thaynescanyonswe</t>
  </si>
  <si>
    <t>THAYNES CANYON</t>
  </si>
  <si>
    <t>timpanogosdivideswe</t>
  </si>
  <si>
    <t>TIMPANOGOS DIVIDE</t>
  </si>
  <si>
    <t>tolbyswe</t>
  </si>
  <si>
    <t>TOLBY</t>
  </si>
  <si>
    <t>tomichicreekatgunnison</t>
  </si>
  <si>
    <t>TOMICHI CREEK AT GUNNISON; CO</t>
  </si>
  <si>
    <t>tomichicreekatparlin</t>
  </si>
  <si>
    <t>TOMICHI CREEK AT PARLIN; CO</t>
  </si>
  <si>
    <t>tomichicreekatsargents</t>
  </si>
  <si>
    <t>TOMICHI CREEK AT SARGENTS; CO</t>
  </si>
  <si>
    <t>tonygrovelakeswe</t>
  </si>
  <si>
    <t>TONY GROVE LAKE</t>
  </si>
  <si>
    <t>towerswe</t>
  </si>
  <si>
    <t>TOWER</t>
  </si>
  <si>
    <t>transferditchabovefruitgrowers</t>
  </si>
  <si>
    <t>TRANSFER DITCH ABOVE FRUITGROWERS</t>
  </si>
  <si>
    <t>trapperlakeswe</t>
  </si>
  <si>
    <t>TRAPPER LAKE</t>
  </si>
  <si>
    <t>triallakeswe</t>
  </si>
  <si>
    <t>TRIAL LAKE</t>
  </si>
  <si>
    <t>trincheraswe</t>
  </si>
  <si>
    <t>TRINCHERA</t>
  </si>
  <si>
    <t>triplepeakswe</t>
  </si>
  <si>
    <t>TRIPLE PEAK</t>
  </si>
  <si>
    <t>troutcreekswe</t>
  </si>
  <si>
    <t>TROUT CREEK</t>
  </si>
  <si>
    <t>turkeycreeknearpagosasprings</t>
  </si>
  <si>
    <t>TURKEY CREEK NEAR PAGOSA SPRINGS; CO.</t>
  </si>
  <si>
    <t>twinlakestunnel</t>
  </si>
  <si>
    <t>TWIN LAKES TUNNEL</t>
  </si>
  <si>
    <t>uncompahgreriveratcolona</t>
  </si>
  <si>
    <t>UNCOMPAHGRE RIVER AT COLONA; COLORADO</t>
  </si>
  <si>
    <t>uncompahgreriveratdelta</t>
  </si>
  <si>
    <t>UNCOMPAHGRE RIVER AT DELTA; CO.</t>
  </si>
  <si>
    <t>uncompahgreriverbelowridgewayreservoir</t>
  </si>
  <si>
    <t>UNCOMPAHGRE RIVER BELOW RIDGEWAY RESERVOIR</t>
  </si>
  <si>
    <t>uncompahgrerivernearridgway</t>
  </si>
  <si>
    <t>UNCOMPAHGRE RIVER NEAR RIDGWAY; COLORADO</t>
  </si>
  <si>
    <t>upperriograndeswe</t>
  </si>
  <si>
    <t>UPPER RIO GRANDE</t>
  </si>
  <si>
    <t>uppersanjuanswe</t>
  </si>
  <si>
    <t>UPPER SAN JUAN</t>
  </si>
  <si>
    <t>upperstillwater</t>
  </si>
  <si>
    <t>UPPER STILLWATER RESERVOIR</t>
  </si>
  <si>
    <t>uppertaylorswe</t>
  </si>
  <si>
    <t>UPPER TAYLOR</t>
  </si>
  <si>
    <t>utecreekswe</t>
  </si>
  <si>
    <t>UTE CREEK</t>
  </si>
  <si>
    <t>vailmountainswe</t>
  </si>
  <si>
    <t>VAIL MOUNTAIN</t>
  </si>
  <si>
    <t>vallecito</t>
  </si>
  <si>
    <t>VALLECITO RESERVOIR</t>
  </si>
  <si>
    <t>vallecitocreeknearbayfield</t>
  </si>
  <si>
    <t>VALLECITO CREEK NEAR BAYFIELD; CO.</t>
  </si>
  <si>
    <t>vallecitoswe</t>
  </si>
  <si>
    <t>VALLECITO</t>
  </si>
  <si>
    <t>vega</t>
  </si>
  <si>
    <t>VEGA RESERVOIR</t>
  </si>
  <si>
    <t>vernoncreekswe</t>
  </si>
  <si>
    <t>VERNON CREEK</t>
  </si>
  <si>
    <t>weberrivernearoakley</t>
  </si>
  <si>
    <t>WEBER RIVER NEAR OAKLEY; UT</t>
  </si>
  <si>
    <t>weminuchecnrbrdgerasta</t>
  </si>
  <si>
    <t>WEMINUCHE C NR BRDGE RA STA; NR PAGOSA SPGS;</t>
  </si>
  <si>
    <t>wesnerspringsswe</t>
  </si>
  <si>
    <t>WESNER SPRINGS</t>
  </si>
  <si>
    <t>westforksanjuanrivernrpagosasprings</t>
  </si>
  <si>
    <t>WEST FORK SAN JUAN RIVER NR PAGOSA SPRINGS;</t>
  </si>
  <si>
    <t>westmancosrivernearmancos</t>
  </si>
  <si>
    <t>WEST MANCOS RIVER NEAR MANCOS; CO.</t>
  </si>
  <si>
    <t>westriflecreekaboveriflegap</t>
  </si>
  <si>
    <t>WEST RIFLE CREEK ABOVE RIFLE GAP</t>
  </si>
  <si>
    <t>wfksanjuanratwfkcampgrnrpagosaspr</t>
  </si>
  <si>
    <t>W FK SAN JUAN R AT W FK CAMPGR NR PAGOSA SPR</t>
  </si>
  <si>
    <t>wfsanjuanrabbornslake</t>
  </si>
  <si>
    <t>WF SAN JUAN R AB BORNS LAKE;NR PAGOSA SPGS;</t>
  </si>
  <si>
    <t>whiskeyckswe</t>
  </si>
  <si>
    <t>WHISKEY CK</t>
  </si>
  <si>
    <t>whiskeyparkswe</t>
  </si>
  <si>
    <t>WHISKEY PARK</t>
  </si>
  <si>
    <t>whiteriver1swe</t>
  </si>
  <si>
    <t>WHITE RIVER #1</t>
  </si>
  <si>
    <t>whiterivernearwatson</t>
  </si>
  <si>
    <t>WHITE RIVER NEAR WATSON; UT</t>
  </si>
  <si>
    <t>widtsoe3swe</t>
  </si>
  <si>
    <t>WIDTSOE #3</t>
  </si>
  <si>
    <t>willardbay</t>
  </si>
  <si>
    <t>WILLARD BAY RESERVOIR</t>
  </si>
  <si>
    <t>williamscnrbridgerasta</t>
  </si>
  <si>
    <t>WILLIAMS C NR BRIDGE RA STA; NR PAGOSA SPGS;</t>
  </si>
  <si>
    <t>williamsfork</t>
  </si>
  <si>
    <t>WILLIAMS FORK RESERVOIR</t>
  </si>
  <si>
    <t>williamsforknearparshall</t>
  </si>
  <si>
    <t>WILLIAMS FORK NEAR PARSHALL; CO</t>
  </si>
  <si>
    <t>willowcreek</t>
  </si>
  <si>
    <t>WILLOW CREEK RESERVOIR (operated by ECAO)</t>
  </si>
  <si>
    <t>willowcreekpassswe</t>
  </si>
  <si>
    <t>WILLOW CREEK PASS</t>
  </si>
  <si>
    <t>windypasscrnrpagosaspr</t>
  </si>
  <si>
    <t>WINDY PASS CR NR PAGOSA SPR; CO.</t>
  </si>
  <si>
    <t>wolfcratwolfcrcampgrnrpagosaspr</t>
  </si>
  <si>
    <t>WOLF CR AT WOLF CR CAMPGR NR PAGOSA SPR; CO.</t>
  </si>
  <si>
    <t>wolfcreeknearpagosasprings</t>
  </si>
  <si>
    <t>WOLF CREEK NEAR PAGOSA SPRINGS; CO.</t>
  </si>
  <si>
    <t>wolfcreeksummitswe</t>
  </si>
  <si>
    <t>WOLF CREEK SUMMIT</t>
  </si>
  <si>
    <t>yampariverabvlittlesnakernrmaybellco</t>
  </si>
  <si>
    <t>YAMPA RIVER ABV. LITTLE SNAKE R. NR. MAYBELL CO.</t>
  </si>
  <si>
    <t>yampariveratdeerlodgepark</t>
  </si>
  <si>
    <t>YAMPA RIVER AT DEERLODGE PARK; COLORADO</t>
  </si>
  <si>
    <t>yampariveratsteamboatsprings</t>
  </si>
  <si>
    <t>YAMPA RIVER AT STEAMBOAT SPRINGS</t>
  </si>
  <si>
    <t>yampariverbelowcraig</t>
  </si>
  <si>
    <t>YAMPA RIVER BELOW CRAIG; CO</t>
  </si>
  <si>
    <t>yamparivernearmaybell</t>
  </si>
  <si>
    <t>YAMPA RIVER NEAR MAYBELL; CO</t>
  </si>
  <si>
    <t>coloradoriveraboveimperialdamibwcsalinitysite</t>
  </si>
  <si>
    <t>Colorado River above Imperial Dam -- IBWC Salinity Site</t>
  </si>
  <si>
    <t>YAO</t>
  </si>
  <si>
    <t>coloradoriveraboveimperialdamusbrsalinitysite</t>
  </si>
  <si>
    <t>Colorado River above Imperial Dam -- USBR Salinity Site</t>
  </si>
  <si>
    <t>coloradoriveratnortherninternationalboundaryibwcsalinitysite</t>
  </si>
  <si>
    <t>Colorado River at Northern International Boundary -- IBWC Salinity Site</t>
  </si>
  <si>
    <t>coloradoriveratnortherninternationalboundaryusbrsalinitysite</t>
  </si>
  <si>
    <t>Colorado River at Northern International Boundary -- USBR Salinity Site</t>
  </si>
  <si>
    <t>coloradoriveratyumagageusbrsalinitysite</t>
  </si>
  <si>
    <t>Colorado River at Yuma Gage -- USBR Salinity Site</t>
  </si>
  <si>
    <t>coloradoriveratyumausgsoldyumagagesite</t>
  </si>
  <si>
    <t>Colorado River at Yuma - USGS (Old Yuma Gage Site)</t>
  </si>
  <si>
    <t>imperialreservoirofficialcompletesalinitysite</t>
  </si>
  <si>
    <t>Imperial Reservoir -- Official Complete Salinity Site</t>
  </si>
  <si>
    <t>imperialreservoiryao</t>
  </si>
  <si>
    <t>Imperial Reservoir - YAO use</t>
  </si>
  <si>
    <t>lcwspwellsatallamericancanal</t>
  </si>
  <si>
    <t>LCWSP -- All American Canal Return Wells</t>
  </si>
  <si>
    <t>llc</t>
  </si>
  <si>
    <t>Colorado River Below Laguna</t>
  </si>
  <si>
    <t>mllc</t>
  </si>
  <si>
    <t>Colorado River at Martinez Gage</t>
  </si>
  <si>
    <t>mlwlc</t>
  </si>
  <si>
    <t>Mitry Lake at Laguna Dam</t>
  </si>
  <si>
    <t>nblc</t>
  </si>
  <si>
    <t>Colorado River at NIB Gage</t>
  </si>
  <si>
    <t>ppglc</t>
  </si>
  <si>
    <t>Colorado River at Picacho Park</t>
  </si>
  <si>
    <t>sblc</t>
  </si>
  <si>
    <t>Southern International Boundary - To Mexico</t>
  </si>
  <si>
    <t>senatorwashreservoiryao</t>
  </si>
  <si>
    <t>Senator Wash Reservoir - YAO Use</t>
  </si>
  <si>
    <t>yglc</t>
  </si>
  <si>
    <t>Colorado River at Yuma Gage</t>
  </si>
  <si>
    <t>yv151/2</t>
  </si>
  <si>
    <t>YV-15 1/2 Check Structure on Bypass Canal</t>
  </si>
  <si>
    <t>ber</t>
  </si>
  <si>
    <t>Lake Berryessa And Monticello Dam</t>
  </si>
  <si>
    <t>MP</t>
  </si>
  <si>
    <t>brd</t>
  </si>
  <si>
    <t>Beardsley Dam And Reservoir</t>
  </si>
  <si>
    <t>cch</t>
  </si>
  <si>
    <t>Cachuma Lake And Bradbury Dam; Cachuma Project</t>
  </si>
  <si>
    <t>ccp</t>
  </si>
  <si>
    <t>Contra Costa Pumping Plant</t>
  </si>
  <si>
    <t>don</t>
  </si>
  <si>
    <t>Donnells Reservoir</t>
  </si>
  <si>
    <t>fol</t>
  </si>
  <si>
    <t>Folsom Lake; Dam; And Powerplant</t>
  </si>
  <si>
    <t>frm</t>
  </si>
  <si>
    <t>Upper Farmington Canal</t>
  </si>
  <si>
    <t>gdw</t>
  </si>
  <si>
    <t>Goodwin Dam And Joint-Main And South Canals</t>
  </si>
  <si>
    <t>jcr</t>
  </si>
  <si>
    <t>Judge Francis Carr Powerplant</t>
  </si>
  <si>
    <t>powerplant</t>
  </si>
  <si>
    <t>kes</t>
  </si>
  <si>
    <t>Keswick Dam; Reservoir; And Powerplant</t>
  </si>
  <si>
    <t>lew</t>
  </si>
  <si>
    <t>Lewiston Dam; Lake; And Judge Francis Carr Powerplant</t>
  </si>
  <si>
    <t>milfrnt</t>
  </si>
  <si>
    <t>Millerton Lake; Friant Dam; Madera And Friant Kern Canals</t>
  </si>
  <si>
    <t>milfn</t>
  </si>
  <si>
    <t>Millerton Lake Full Natural Inflow</t>
  </si>
  <si>
    <t>nat</t>
  </si>
  <si>
    <t>Lake Natoma; Nimbus Dam And Powerplant</t>
  </si>
  <si>
    <t>new</t>
  </si>
  <si>
    <t>San Joaquin River At Newman</t>
  </si>
  <si>
    <t>nml</t>
  </si>
  <si>
    <t>New Melones Lake; Dam; And Powerplant</t>
  </si>
  <si>
    <t>nmlfn</t>
  </si>
  <si>
    <t>New Melones Lake Full Natural Inflow</t>
  </si>
  <si>
    <t>sha</t>
  </si>
  <si>
    <t>Shasta Lake; Dam And Powerplant</t>
  </si>
  <si>
    <t>shafn</t>
  </si>
  <si>
    <t>Shasta Lake Full Natural Inflow</t>
  </si>
  <si>
    <t>snl</t>
  </si>
  <si>
    <t>San Luis Reservoir; Dam; And Pump/Generation Plant</t>
  </si>
  <si>
    <t>spr</t>
  </si>
  <si>
    <t>Spring Creek Debris Dam And Reservoir</t>
  </si>
  <si>
    <t>trn</t>
  </si>
  <si>
    <t>Trinity Lake; Trinity Dam And Powerplant</t>
  </si>
  <si>
    <t>tul</t>
  </si>
  <si>
    <t>Tulloch Lake; Dam; And Powerplant</t>
  </si>
  <si>
    <t>whi</t>
  </si>
  <si>
    <t>Whiskeytown Dam; Lake; And Spring Creek Powerplant</t>
  </si>
  <si>
    <t>id</t>
  </si>
  <si>
    <t>timeinterval</t>
  </si>
  <si>
    <t>units</t>
  </si>
  <si>
    <t>statistic</t>
  </si>
  <si>
    <t>name</t>
  </si>
  <si>
    <t>Day.Avg.AirTemperature.DegF</t>
  </si>
  <si>
    <t>Day</t>
  </si>
  <si>
    <t>DegF</t>
  </si>
  <si>
    <t>Avg</t>
  </si>
  <si>
    <t>Air Temperature</t>
  </si>
  <si>
    <t>Day.Avg.CanalDiversion.cfs</t>
  </si>
  <si>
    <t>cfs</t>
  </si>
  <si>
    <t>Canal Diversion</t>
  </si>
  <si>
    <t>Day.Avg.CanalFlow.cfs</t>
  </si>
  <si>
    <t>Canal Flow</t>
  </si>
  <si>
    <t>Day.Avg.CanalStage.feet</t>
  </si>
  <si>
    <t>feet</t>
  </si>
  <si>
    <t>Canal Stage</t>
  </si>
  <si>
    <t>Day.Avg.ElectricalConductivity.umhos/cm</t>
  </si>
  <si>
    <t>umhos/cm</t>
  </si>
  <si>
    <t>Electrical Conductivity</t>
  </si>
  <si>
    <t>Day.Avg.FullNaturalFlow.cfs</t>
  </si>
  <si>
    <t>Full Natural Flow</t>
  </si>
  <si>
    <t>Day.Avg.PowerplantGeneration-Capacity.mw</t>
  </si>
  <si>
    <t>mw</t>
  </si>
  <si>
    <t>Powerplant Generation - Capacity</t>
  </si>
  <si>
    <t>Day.Sum.PowerplantGeneration-Energy.mwh</t>
  </si>
  <si>
    <t>mwh</t>
  </si>
  <si>
    <t>Sum</t>
  </si>
  <si>
    <t>Powerplant Generation - Energy</t>
  </si>
  <si>
    <t>Day.Sum.Precipitation.inches</t>
  </si>
  <si>
    <t>inches</t>
  </si>
  <si>
    <t>Precipitation</t>
  </si>
  <si>
    <t>Day.Inst.ReservoirArea.acres</t>
  </si>
  <si>
    <t>acres</t>
  </si>
  <si>
    <t>Inst</t>
  </si>
  <si>
    <t>Reservoir Area</t>
  </si>
  <si>
    <t>Day.Inst.ReservoirDiversion.cfs</t>
  </si>
  <si>
    <t>Reservoir Diversion</t>
  </si>
  <si>
    <t>Day.Sum.ReservoirDiversion.af</t>
  </si>
  <si>
    <t>af</t>
  </si>
  <si>
    <t>Day.Inst.ReservoirElevation.feet</t>
  </si>
  <si>
    <t>Reservoir Elevation</t>
  </si>
  <si>
    <t>Day.Sum.ReservoirEvaporation.cfs</t>
  </si>
  <si>
    <t>Reservoir Evaporation</t>
  </si>
  <si>
    <t>Day.Sum.ReservoirEvaporation.inches</t>
  </si>
  <si>
    <t>Day.Sum.ReservoirEvaporation.af</t>
  </si>
  <si>
    <t>Day.Avg.ReservoirInflow.cfs</t>
  </si>
  <si>
    <t>Reservoir Inflow</t>
  </si>
  <si>
    <t>Day.Sum.ReservoirInflow.af</t>
  </si>
  <si>
    <t>Day.Avg.ReservoirInflow-Unregulated.cfs</t>
  </si>
  <si>
    <t>Reservoir Inflow - Unregulated</t>
  </si>
  <si>
    <t>Day.Sum.ReservoirInflow-Unregulated.af</t>
  </si>
  <si>
    <t>Day.Avg.ReservoirRelease.cfs</t>
  </si>
  <si>
    <t>Reservoir Release</t>
  </si>
  <si>
    <t>Day.Avg.ReservoirRelease-Bypass.cfs</t>
  </si>
  <si>
    <t>Reservoir Release - Bypass</t>
  </si>
  <si>
    <t>Day.Sum.ReservoirRelease-Bypass.af</t>
  </si>
  <si>
    <t>Day.Avg.ReservoirRelease-FishTrap.cfs</t>
  </si>
  <si>
    <t>Reservoir Release - Fish Trap</t>
  </si>
  <si>
    <t>Day.Avg.ReservoirRelease-Outlet.cfs</t>
  </si>
  <si>
    <t>Reservoir Release - Outlet</t>
  </si>
  <si>
    <t>Day.Avg.ReservoirRelease-Powerplant.cfs</t>
  </si>
  <si>
    <t>Reservoir Release - Powerplant</t>
  </si>
  <si>
    <t>Day.Sum.ReservoirRelease-Powerplant.af</t>
  </si>
  <si>
    <t>Day.Avg.ReservoirRelease-Spillway.cfs</t>
  </si>
  <si>
    <t>Reservoir Release - Spillway</t>
  </si>
  <si>
    <t>Day.Sum.ReservoirRelease-Spillway.af</t>
  </si>
  <si>
    <t>Day.Avg.ReservoirRelease-Total.cfs</t>
  </si>
  <si>
    <t>Reservoir Release - Total</t>
  </si>
  <si>
    <t>Day.Sum.ReservoirRelease-Total.af</t>
  </si>
  <si>
    <t>Day.Inst.ReservoirStorage.af</t>
  </si>
  <si>
    <t>Reservoir Storage</t>
  </si>
  <si>
    <t>Day.Avg.SnowWaterEquivalent.inches</t>
  </si>
  <si>
    <t>Snow Water Equivalent</t>
  </si>
  <si>
    <t>Day.Avg.StreamGageHeight.feet</t>
  </si>
  <si>
    <t>Stream Gage Height</t>
  </si>
  <si>
    <t>Day.Inst.StreamGageHeight.feet</t>
  </si>
  <si>
    <t>Day.Avg.Streamflow.cfs</t>
  </si>
  <si>
    <t>Streamflow</t>
  </si>
  <si>
    <t>Day.Inst.Streamflow.cfs</t>
  </si>
  <si>
    <t>Day.Avg.TailraceElevation.feet</t>
  </si>
  <si>
    <t>Tailrace Elevation</t>
  </si>
  <si>
    <t>Day.Inst.TailraceElevation.feet</t>
  </si>
  <si>
    <t>Day.Avg.WaterPumped.cfs</t>
  </si>
  <si>
    <t>Water Pumped</t>
  </si>
  <si>
    <t>Day.Sum.WaterPumped.af</t>
  </si>
  <si>
    <t>Day.Avg.WindDirection.degrees</t>
  </si>
  <si>
    <t>degrees</t>
  </si>
  <si>
    <t>Wind Direction</t>
  </si>
  <si>
    <t>Day.Avg.WindSpeed.mph</t>
  </si>
  <si>
    <t>mph</t>
  </si>
  <si>
    <t>Wind Speed</t>
  </si>
  <si>
    <t>Region</t>
  </si>
  <si>
    <t>Time_step</t>
  </si>
  <si>
    <t>Site</t>
  </si>
  <si>
    <t>Parameter</t>
  </si>
  <si>
    <t>State</t>
  </si>
  <si>
    <t>Parameter Name</t>
  </si>
  <si>
    <t>Parameter Units</t>
  </si>
  <si>
    <t>Site Description</t>
  </si>
  <si>
    <t>LEGEND</t>
  </si>
  <si>
    <t>Required Input from Drop-down</t>
  </si>
  <si>
    <t>Required Manual Input</t>
  </si>
  <si>
    <t>Site Code</t>
  </si>
  <si>
    <t>Parameter Code</t>
  </si>
  <si>
    <t>SDI</t>
  </si>
  <si>
    <t>Data Provider</t>
  </si>
  <si>
    <t>t1</t>
  </si>
  <si>
    <t>t2</t>
  </si>
  <si>
    <t>Data Upload Dates</t>
  </si>
  <si>
    <t>Required RWIS Metadata</t>
  </si>
  <si>
    <t>Required Regional Connection Information</t>
  </si>
  <si>
    <t>Queried Based on Inputs</t>
  </si>
  <si>
    <t>This spreadsheet allows users to generate a comma-delimited file for performing mass-uploads of datasets into the RWIS database via the RWIS Database Management Interface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</si>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</sst>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7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47" fontId="0" fillId="0" borderId="0" xfId="0" applyNumberFormat="1"/>
    <xf numFmtId="22" fontId="0" fillId="0" borderId="0" xfId="0" applyNumberFormat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Alignment="1">
      <alignment vertical="center" wrapText="1"/>
    </xf>
    <xf numFmtId="0" fontId="3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</cellXfs>
  <cellStyles count="1">
    <cellStyle name="Normal" xfId="0" builtinId="0"/>
  </cellStyles>
  <dxfs count="2">
    <dxf>
      <fill>
        <patternFill patternType="lightGray"/>
      </fill>
    </dxf>
    <dxf>
      <fill>
        <patternFill patternType="lightGray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</xdr:row>
          <xdr:rowOff>209550</xdr:rowOff>
        </xdr:from>
        <xdr:to>
          <xdr:col>10</xdr:col>
          <xdr:colOff>914400</xdr:colOff>
          <xdr:row>5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&amp; Open Batch Upload Control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"/>
  <sheetViews>
    <sheetView topLeftCell="A6" workbookViewId="0">
      <selection activeCell="D8" sqref="D8"/>
    </sheetView>
  </sheetViews>
  <sheetFormatPr defaultRowHeight="15" x14ac:dyDescent="0.25"/>
  <cols>
    <col min="1" max="1" width="42.42578125" bestFit="1" customWidth="1"/>
    <col min="2" max="2" width="14.28515625" bestFit="1" customWidth="1"/>
    <col min="3" max="3" width="10.42578125" bestFit="1" customWidth="1"/>
    <col min="4" max="4" width="10.140625" bestFit="1" customWidth="1"/>
    <col min="5" max="5" width="31.42578125" bestFit="1" customWidth="1"/>
  </cols>
  <sheetData>
    <row r="1" spans="1:5" x14ac:dyDescent="0.25">
      <c r="A1" t="s">
        <v>3526</v>
      </c>
      <c r="B1" t="s">
        <v>3527</v>
      </c>
      <c r="C1" t="s">
        <v>3528</v>
      </c>
      <c r="D1" t="s">
        <v>3529</v>
      </c>
      <c r="E1" t="s">
        <v>3530</v>
      </c>
    </row>
    <row r="2" spans="1:5" x14ac:dyDescent="0.25">
      <c r="A2" t="s">
        <v>3531</v>
      </c>
      <c r="B2" t="s">
        <v>3532</v>
      </c>
      <c r="C2" t="s">
        <v>3533</v>
      </c>
      <c r="D2" t="s">
        <v>3534</v>
      </c>
      <c r="E2" t="s">
        <v>3535</v>
      </c>
    </row>
    <row r="3" spans="1:5" x14ac:dyDescent="0.25">
      <c r="A3" t="s">
        <v>3536</v>
      </c>
      <c r="B3" t="s">
        <v>3532</v>
      </c>
      <c r="C3" t="s">
        <v>3537</v>
      </c>
      <c r="D3" t="s">
        <v>3534</v>
      </c>
      <c r="E3" t="s">
        <v>3538</v>
      </c>
    </row>
    <row r="4" spans="1:5" x14ac:dyDescent="0.25">
      <c r="A4" t="s">
        <v>3539</v>
      </c>
      <c r="B4" t="s">
        <v>3532</v>
      </c>
      <c r="C4" t="s">
        <v>3537</v>
      </c>
      <c r="D4" t="s">
        <v>3534</v>
      </c>
      <c r="E4" t="s">
        <v>3540</v>
      </c>
    </row>
    <row r="5" spans="1:5" x14ac:dyDescent="0.25">
      <c r="A5" t="s">
        <v>3541</v>
      </c>
      <c r="B5" t="s">
        <v>3532</v>
      </c>
      <c r="C5" t="s">
        <v>3542</v>
      </c>
      <c r="D5" t="s">
        <v>3534</v>
      </c>
      <c r="E5" t="s">
        <v>3543</v>
      </c>
    </row>
    <row r="6" spans="1:5" x14ac:dyDescent="0.25">
      <c r="A6" t="s">
        <v>3544</v>
      </c>
      <c r="B6" t="s">
        <v>3532</v>
      </c>
      <c r="C6" t="s">
        <v>3545</v>
      </c>
      <c r="D6" t="s">
        <v>3534</v>
      </c>
      <c r="E6" t="s">
        <v>3546</v>
      </c>
    </row>
    <row r="7" spans="1:5" x14ac:dyDescent="0.25">
      <c r="A7" t="s">
        <v>3547</v>
      </c>
      <c r="B7" t="s">
        <v>3532</v>
      </c>
      <c r="C7" t="s">
        <v>3537</v>
      </c>
      <c r="D7" t="s">
        <v>3534</v>
      </c>
      <c r="E7" t="s">
        <v>3548</v>
      </c>
    </row>
    <row r="8" spans="1:5" x14ac:dyDescent="0.25">
      <c r="A8" t="s">
        <v>3549</v>
      </c>
      <c r="B8" t="s">
        <v>3532</v>
      </c>
      <c r="C8" t="s">
        <v>3550</v>
      </c>
      <c r="D8" t="s">
        <v>3534</v>
      </c>
      <c r="E8" t="s">
        <v>3551</v>
      </c>
    </row>
    <row r="9" spans="1:5" x14ac:dyDescent="0.25">
      <c r="A9" t="s">
        <v>3573</v>
      </c>
      <c r="B9" t="s">
        <v>3532</v>
      </c>
      <c r="C9" t="s">
        <v>3537</v>
      </c>
      <c r="D9" t="s">
        <v>3534</v>
      </c>
      <c r="E9" t="s">
        <v>3574</v>
      </c>
    </row>
    <row r="10" spans="1:5" x14ac:dyDescent="0.25">
      <c r="A10" t="s">
        <v>3576</v>
      </c>
      <c r="B10" t="s">
        <v>3532</v>
      </c>
      <c r="C10" t="s">
        <v>3537</v>
      </c>
      <c r="D10" t="s">
        <v>3534</v>
      </c>
      <c r="E10" t="s">
        <v>3577</v>
      </c>
    </row>
    <row r="11" spans="1:5" x14ac:dyDescent="0.25">
      <c r="A11" t="s">
        <v>3579</v>
      </c>
      <c r="B11" t="s">
        <v>3532</v>
      </c>
      <c r="C11" t="s">
        <v>3537</v>
      </c>
      <c r="D11" t="s">
        <v>3534</v>
      </c>
      <c r="E11" t="s">
        <v>3580</v>
      </c>
    </row>
    <row r="12" spans="1:5" x14ac:dyDescent="0.25">
      <c r="A12" t="s">
        <v>3581</v>
      </c>
      <c r="B12" t="s">
        <v>3532</v>
      </c>
      <c r="C12" t="s">
        <v>3537</v>
      </c>
      <c r="D12" t="s">
        <v>3534</v>
      </c>
      <c r="E12" t="s">
        <v>3582</v>
      </c>
    </row>
    <row r="13" spans="1:5" x14ac:dyDescent="0.25">
      <c r="A13" t="s">
        <v>3584</v>
      </c>
      <c r="B13" t="s">
        <v>3532</v>
      </c>
      <c r="C13" t="s">
        <v>3537</v>
      </c>
      <c r="D13" t="s">
        <v>3534</v>
      </c>
      <c r="E13" t="s">
        <v>3585</v>
      </c>
    </row>
    <row r="14" spans="1:5" x14ac:dyDescent="0.25">
      <c r="A14" t="s">
        <v>3586</v>
      </c>
      <c r="B14" t="s">
        <v>3532</v>
      </c>
      <c r="C14" t="s">
        <v>3537</v>
      </c>
      <c r="D14" t="s">
        <v>3534</v>
      </c>
      <c r="E14" t="s">
        <v>3587</v>
      </c>
    </row>
    <row r="15" spans="1:5" x14ac:dyDescent="0.25">
      <c r="A15" t="s">
        <v>3588</v>
      </c>
      <c r="B15" t="s">
        <v>3532</v>
      </c>
      <c r="C15" t="s">
        <v>3537</v>
      </c>
      <c r="D15" t="s">
        <v>3534</v>
      </c>
      <c r="E15" t="s">
        <v>3589</v>
      </c>
    </row>
    <row r="16" spans="1:5" x14ac:dyDescent="0.25">
      <c r="A16" t="s">
        <v>3591</v>
      </c>
      <c r="B16" t="s">
        <v>3532</v>
      </c>
      <c r="C16" t="s">
        <v>3537</v>
      </c>
      <c r="D16" t="s">
        <v>3534</v>
      </c>
      <c r="E16" t="s">
        <v>3592</v>
      </c>
    </row>
    <row r="17" spans="1:5" x14ac:dyDescent="0.25">
      <c r="A17" t="s">
        <v>3594</v>
      </c>
      <c r="B17" t="s">
        <v>3532</v>
      </c>
      <c r="C17" t="s">
        <v>3537</v>
      </c>
      <c r="D17" t="s">
        <v>3534</v>
      </c>
      <c r="E17" t="s">
        <v>3595</v>
      </c>
    </row>
    <row r="18" spans="1:5" x14ac:dyDescent="0.25">
      <c r="A18" t="s">
        <v>3599</v>
      </c>
      <c r="B18" t="s">
        <v>3532</v>
      </c>
      <c r="C18" t="s">
        <v>3557</v>
      </c>
      <c r="D18" t="s">
        <v>3534</v>
      </c>
      <c r="E18" t="s">
        <v>3600</v>
      </c>
    </row>
    <row r="19" spans="1:5" x14ac:dyDescent="0.25">
      <c r="A19" t="s">
        <v>3604</v>
      </c>
      <c r="B19" t="s">
        <v>3532</v>
      </c>
      <c r="C19" t="s">
        <v>3537</v>
      </c>
      <c r="D19" t="s">
        <v>3534</v>
      </c>
      <c r="E19" t="s">
        <v>3605</v>
      </c>
    </row>
    <row r="20" spans="1:5" x14ac:dyDescent="0.25">
      <c r="A20" t="s">
        <v>3601</v>
      </c>
      <c r="B20" t="s">
        <v>3532</v>
      </c>
      <c r="C20" t="s">
        <v>3542</v>
      </c>
      <c r="D20" t="s">
        <v>3534</v>
      </c>
      <c r="E20" t="s">
        <v>3602</v>
      </c>
    </row>
    <row r="21" spans="1:5" x14ac:dyDescent="0.25">
      <c r="A21" t="s">
        <v>3607</v>
      </c>
      <c r="B21" t="s">
        <v>3532</v>
      </c>
      <c r="C21" t="s">
        <v>3542</v>
      </c>
      <c r="D21" t="s">
        <v>3534</v>
      </c>
      <c r="E21" t="s">
        <v>3608</v>
      </c>
    </row>
    <row r="22" spans="1:5" x14ac:dyDescent="0.25">
      <c r="A22" t="s">
        <v>3610</v>
      </c>
      <c r="B22" t="s">
        <v>3532</v>
      </c>
      <c r="C22" t="s">
        <v>3537</v>
      </c>
      <c r="D22" t="s">
        <v>3534</v>
      </c>
      <c r="E22" t="s">
        <v>3611</v>
      </c>
    </row>
    <row r="23" spans="1:5" x14ac:dyDescent="0.25">
      <c r="A23" t="s">
        <v>3613</v>
      </c>
      <c r="B23" t="s">
        <v>3532</v>
      </c>
      <c r="C23" t="s">
        <v>3614</v>
      </c>
      <c r="D23" t="s">
        <v>3534</v>
      </c>
      <c r="E23" t="s">
        <v>3615</v>
      </c>
    </row>
    <row r="24" spans="1:5" x14ac:dyDescent="0.25">
      <c r="A24" t="s">
        <v>3616</v>
      </c>
      <c r="B24" t="s">
        <v>3532</v>
      </c>
      <c r="C24" t="s">
        <v>3617</v>
      </c>
      <c r="D24" t="s">
        <v>3534</v>
      </c>
      <c r="E24" t="s">
        <v>3618</v>
      </c>
    </row>
    <row r="25" spans="1:5" x14ac:dyDescent="0.25">
      <c r="A25" t="s">
        <v>3559</v>
      </c>
      <c r="B25" t="s">
        <v>3532</v>
      </c>
      <c r="C25" t="s">
        <v>3560</v>
      </c>
      <c r="D25" t="s">
        <v>3561</v>
      </c>
      <c r="E25" t="s">
        <v>3562</v>
      </c>
    </row>
    <row r="26" spans="1:5" x14ac:dyDescent="0.25">
      <c r="A26" t="s">
        <v>3563</v>
      </c>
      <c r="B26" t="s">
        <v>3532</v>
      </c>
      <c r="C26" t="s">
        <v>3537</v>
      </c>
      <c r="D26" t="s">
        <v>3561</v>
      </c>
      <c r="E26" t="s">
        <v>3564</v>
      </c>
    </row>
    <row r="27" spans="1:5" x14ac:dyDescent="0.25">
      <c r="A27" t="s">
        <v>3567</v>
      </c>
      <c r="B27" t="s">
        <v>3532</v>
      </c>
      <c r="C27" t="s">
        <v>3542</v>
      </c>
      <c r="D27" t="s">
        <v>3561</v>
      </c>
      <c r="E27" t="s">
        <v>3568</v>
      </c>
    </row>
    <row r="28" spans="1:5" x14ac:dyDescent="0.25">
      <c r="A28" t="s">
        <v>3597</v>
      </c>
      <c r="B28" t="s">
        <v>3532</v>
      </c>
      <c r="C28" t="s">
        <v>3566</v>
      </c>
      <c r="D28" t="s">
        <v>3561</v>
      </c>
      <c r="E28" t="s">
        <v>3598</v>
      </c>
    </row>
    <row r="29" spans="1:5" x14ac:dyDescent="0.25">
      <c r="A29" t="s">
        <v>3606</v>
      </c>
      <c r="B29" t="s">
        <v>3532</v>
      </c>
      <c r="C29" t="s">
        <v>3537</v>
      </c>
      <c r="D29" t="s">
        <v>3561</v>
      </c>
      <c r="E29" t="s">
        <v>3605</v>
      </c>
    </row>
    <row r="30" spans="1:5" x14ac:dyDescent="0.25">
      <c r="A30" t="s">
        <v>3603</v>
      </c>
      <c r="B30" t="s">
        <v>3532</v>
      </c>
      <c r="C30" t="s">
        <v>3542</v>
      </c>
      <c r="D30" t="s">
        <v>3561</v>
      </c>
      <c r="E30" t="s">
        <v>3602</v>
      </c>
    </row>
    <row r="31" spans="1:5" x14ac:dyDescent="0.25">
      <c r="A31" t="s">
        <v>3609</v>
      </c>
      <c r="B31" t="s">
        <v>3532</v>
      </c>
      <c r="C31" t="s">
        <v>3542</v>
      </c>
      <c r="D31" t="s">
        <v>3561</v>
      </c>
      <c r="E31" t="s">
        <v>3608</v>
      </c>
    </row>
    <row r="32" spans="1:5" x14ac:dyDescent="0.25">
      <c r="A32" t="s">
        <v>3552</v>
      </c>
      <c r="B32" t="s">
        <v>3532</v>
      </c>
      <c r="C32" t="s">
        <v>3553</v>
      </c>
      <c r="D32" t="s">
        <v>3554</v>
      </c>
      <c r="E32" t="s">
        <v>3555</v>
      </c>
    </row>
    <row r="33" spans="1:5" x14ac:dyDescent="0.25">
      <c r="A33" t="s">
        <v>3556</v>
      </c>
      <c r="B33" t="s">
        <v>3532</v>
      </c>
      <c r="C33" t="s">
        <v>3557</v>
      </c>
      <c r="D33" t="s">
        <v>3554</v>
      </c>
      <c r="E33" t="s">
        <v>3558</v>
      </c>
    </row>
    <row r="34" spans="1:5" x14ac:dyDescent="0.25">
      <c r="A34" t="s">
        <v>3565</v>
      </c>
      <c r="B34" t="s">
        <v>3532</v>
      </c>
      <c r="C34" t="s">
        <v>3566</v>
      </c>
      <c r="D34" t="s">
        <v>3554</v>
      </c>
      <c r="E34" t="s">
        <v>3564</v>
      </c>
    </row>
    <row r="35" spans="1:5" x14ac:dyDescent="0.25">
      <c r="A35" t="s">
        <v>3572</v>
      </c>
      <c r="B35" t="s">
        <v>3532</v>
      </c>
      <c r="C35" t="s">
        <v>3566</v>
      </c>
      <c r="D35" t="s">
        <v>3554</v>
      </c>
      <c r="E35" t="s">
        <v>3570</v>
      </c>
    </row>
    <row r="36" spans="1:5" x14ac:dyDescent="0.25">
      <c r="A36" t="s">
        <v>3569</v>
      </c>
      <c r="B36" t="s">
        <v>3532</v>
      </c>
      <c r="C36" t="s">
        <v>3537</v>
      </c>
      <c r="D36" t="s">
        <v>3554</v>
      </c>
      <c r="E36" t="s">
        <v>3570</v>
      </c>
    </row>
    <row r="37" spans="1:5" x14ac:dyDescent="0.25">
      <c r="A37" t="s">
        <v>3571</v>
      </c>
      <c r="B37" t="s">
        <v>3532</v>
      </c>
      <c r="C37" t="s">
        <v>3557</v>
      </c>
      <c r="D37" t="s">
        <v>3554</v>
      </c>
      <c r="E37" t="s">
        <v>3570</v>
      </c>
    </row>
    <row r="38" spans="1:5" x14ac:dyDescent="0.25">
      <c r="A38" t="s">
        <v>3575</v>
      </c>
      <c r="B38" t="s">
        <v>3532</v>
      </c>
      <c r="C38" t="s">
        <v>3566</v>
      </c>
      <c r="D38" t="s">
        <v>3554</v>
      </c>
      <c r="E38" t="s">
        <v>3574</v>
      </c>
    </row>
    <row r="39" spans="1:5" x14ac:dyDescent="0.25">
      <c r="A39" t="s">
        <v>3578</v>
      </c>
      <c r="B39" t="s">
        <v>3532</v>
      </c>
      <c r="C39" t="s">
        <v>3566</v>
      </c>
      <c r="D39" t="s">
        <v>3554</v>
      </c>
      <c r="E39" t="s">
        <v>3577</v>
      </c>
    </row>
    <row r="40" spans="1:5" x14ac:dyDescent="0.25">
      <c r="A40" t="s">
        <v>3583</v>
      </c>
      <c r="B40" t="s">
        <v>3532</v>
      </c>
      <c r="C40" t="s">
        <v>3566</v>
      </c>
      <c r="D40" t="s">
        <v>3554</v>
      </c>
      <c r="E40" t="s">
        <v>3582</v>
      </c>
    </row>
    <row r="41" spans="1:5" x14ac:dyDescent="0.25">
      <c r="A41" t="s">
        <v>3590</v>
      </c>
      <c r="B41" t="s">
        <v>3532</v>
      </c>
      <c r="C41" t="s">
        <v>3566</v>
      </c>
      <c r="D41" t="s">
        <v>3554</v>
      </c>
      <c r="E41" t="s">
        <v>3589</v>
      </c>
    </row>
    <row r="42" spans="1:5" x14ac:dyDescent="0.25">
      <c r="A42" t="s">
        <v>3593</v>
      </c>
      <c r="B42" t="s">
        <v>3532</v>
      </c>
      <c r="C42" t="s">
        <v>3566</v>
      </c>
      <c r="D42" t="s">
        <v>3554</v>
      </c>
      <c r="E42" t="s">
        <v>3592</v>
      </c>
    </row>
    <row r="43" spans="1:5" x14ac:dyDescent="0.25">
      <c r="A43" t="s">
        <v>3596</v>
      </c>
      <c r="B43" t="s">
        <v>3532</v>
      </c>
      <c r="C43" t="s">
        <v>3566</v>
      </c>
      <c r="D43" t="s">
        <v>3554</v>
      </c>
      <c r="E43" t="s">
        <v>3595</v>
      </c>
    </row>
    <row r="44" spans="1:5" x14ac:dyDescent="0.25">
      <c r="A44" t="s">
        <v>3612</v>
      </c>
      <c r="B44" t="s">
        <v>3532</v>
      </c>
      <c r="C44" t="s">
        <v>3566</v>
      </c>
      <c r="D44" t="s">
        <v>3554</v>
      </c>
      <c r="E44" t="s">
        <v>3611</v>
      </c>
    </row>
  </sheetData>
  <autoFilter ref="A1:E1">
    <sortState ref="A2:E44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32"/>
  <sheetViews>
    <sheetView topLeftCell="B1" zoomScaleNormal="100" workbookViewId="0">
      <pane ySplit="1" topLeftCell="A2" activePane="bottomLeft" state="frozen"/>
      <selection pane="bottomLeft" activeCell="Q10" sqref="Q10"/>
    </sheetView>
  </sheetViews>
  <sheetFormatPr defaultRowHeight="15" x14ac:dyDescent="0.25"/>
  <cols>
    <col min="1" max="1" width="57.85546875" bestFit="1" customWidth="1"/>
    <col min="2" max="2" width="65.28515625" bestFit="1" customWidth="1"/>
    <col min="3" max="3" width="12.42578125" customWidth="1"/>
    <col min="4" max="4" width="12" hidden="1" customWidth="1"/>
    <col min="5" max="5" width="12.7109375" hidden="1" customWidth="1"/>
    <col min="6" max="6" width="12" hidden="1" customWidth="1"/>
    <col min="7" max="7" width="12.7109375" hidden="1" customWidth="1"/>
    <col min="8" max="8" width="13.85546875" hidden="1" customWidth="1"/>
    <col min="9" max="9" width="16.85546875" hidden="1" customWidth="1"/>
    <col min="10" max="10" width="14.42578125" hidden="1" customWidth="1"/>
    <col min="11" max="11" width="16.140625" hidden="1" customWidth="1"/>
    <col min="12" max="12" width="17.7109375" hidden="1" customWidth="1"/>
    <col min="13" max="13" width="8.85546875" hidden="1" customWidth="1"/>
    <col min="14" max="14" width="10.5703125" hidden="1" customWidth="1"/>
    <col min="15" max="15" width="11.28515625" customWidth="1"/>
    <col min="16" max="16" width="13.28515625" hidden="1" customWidth="1"/>
    <col min="17" max="17" width="17.7109375" bestFit="1" customWidth="1"/>
  </cols>
  <sheetData>
    <row r="1" spans="1:17" s="8" customFormat="1" ht="15.75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</row>
    <row r="2" spans="1:17" x14ac:dyDescent="0.25">
      <c r="A2" t="s">
        <v>1574</v>
      </c>
      <c r="B2" t="s">
        <v>1575</v>
      </c>
      <c r="C2" t="s">
        <v>410</v>
      </c>
      <c r="D2">
        <v>42.953333000000001</v>
      </c>
      <c r="E2">
        <v>-112.82666999999999</v>
      </c>
      <c r="F2">
        <v>1341</v>
      </c>
      <c r="G2" t="s">
        <v>1576</v>
      </c>
      <c r="H2" s="1">
        <v>33317</v>
      </c>
      <c r="J2" t="s">
        <v>1577</v>
      </c>
      <c r="K2">
        <v>0</v>
      </c>
      <c r="L2" t="s">
        <v>1578</v>
      </c>
      <c r="O2" t="s">
        <v>151</v>
      </c>
      <c r="P2" t="s">
        <v>1579</v>
      </c>
      <c r="Q2" t="s">
        <v>1580</v>
      </c>
    </row>
    <row r="3" spans="1:17" x14ac:dyDescent="0.25">
      <c r="A3" t="s">
        <v>2281</v>
      </c>
      <c r="B3" t="s">
        <v>2282</v>
      </c>
      <c r="C3" t="s">
        <v>2283</v>
      </c>
      <c r="D3">
        <v>36.24</v>
      </c>
      <c r="E3">
        <v>-106.4289</v>
      </c>
      <c r="F3">
        <v>6250</v>
      </c>
      <c r="G3" t="s">
        <v>1576</v>
      </c>
      <c r="K3">
        <v>0</v>
      </c>
      <c r="O3" t="s">
        <v>30</v>
      </c>
      <c r="Q3" t="s">
        <v>2284</v>
      </c>
    </row>
    <row r="4" spans="1:17" x14ac:dyDescent="0.25">
      <c r="A4" t="s">
        <v>22</v>
      </c>
      <c r="B4" t="s">
        <v>23</v>
      </c>
      <c r="C4" t="s">
        <v>19</v>
      </c>
      <c r="D4">
        <v>40.241669999999999</v>
      </c>
      <c r="E4">
        <v>-105.80222000000001</v>
      </c>
      <c r="K4">
        <v>0</v>
      </c>
      <c r="O4" t="s">
        <v>20</v>
      </c>
      <c r="Q4" t="s">
        <v>21</v>
      </c>
    </row>
    <row r="5" spans="1:17" x14ac:dyDescent="0.25">
      <c r="A5" t="s">
        <v>1583</v>
      </c>
      <c r="B5" t="s">
        <v>1584</v>
      </c>
      <c r="C5" t="s">
        <v>37</v>
      </c>
      <c r="D5">
        <v>42.733330000000002</v>
      </c>
      <c r="E5">
        <v>-110.93583</v>
      </c>
      <c r="F5">
        <v>1892.81</v>
      </c>
      <c r="G5" t="s">
        <v>1576</v>
      </c>
      <c r="H5" s="1">
        <v>29526</v>
      </c>
      <c r="J5" t="s">
        <v>1577</v>
      </c>
      <c r="K5">
        <v>0</v>
      </c>
      <c r="L5" t="s">
        <v>1578</v>
      </c>
      <c r="O5" t="s">
        <v>151</v>
      </c>
      <c r="P5" t="s">
        <v>1585</v>
      </c>
      <c r="Q5" t="s">
        <v>1580</v>
      </c>
    </row>
    <row r="6" spans="1:17" x14ac:dyDescent="0.25">
      <c r="A6" t="s">
        <v>1586</v>
      </c>
      <c r="B6" t="s">
        <v>1587</v>
      </c>
      <c r="C6" t="s">
        <v>1588</v>
      </c>
      <c r="D6">
        <v>42.565269999999998</v>
      </c>
      <c r="E6">
        <v>-121.9825</v>
      </c>
      <c r="F6">
        <v>1264.92</v>
      </c>
      <c r="G6" t="s">
        <v>1589</v>
      </c>
      <c r="H6" s="1">
        <v>36649</v>
      </c>
      <c r="J6" t="s">
        <v>1577</v>
      </c>
      <c r="K6">
        <v>0</v>
      </c>
      <c r="L6" t="s">
        <v>1578</v>
      </c>
      <c r="O6" t="s">
        <v>151</v>
      </c>
      <c r="P6" t="s">
        <v>1585</v>
      </c>
      <c r="Q6" t="s">
        <v>1580</v>
      </c>
    </row>
    <row r="7" spans="1:17" x14ac:dyDescent="0.25">
      <c r="A7" t="s">
        <v>2287</v>
      </c>
      <c r="B7" t="s">
        <v>2288</v>
      </c>
      <c r="C7" t="s">
        <v>1622</v>
      </c>
      <c r="D7">
        <v>37.520000000000003</v>
      </c>
      <c r="E7">
        <v>-112.27119999999999</v>
      </c>
      <c r="F7">
        <v>8900</v>
      </c>
      <c r="G7" t="s">
        <v>1576</v>
      </c>
      <c r="K7">
        <v>0</v>
      </c>
      <c r="O7" t="s">
        <v>57</v>
      </c>
      <c r="Q7" t="s">
        <v>2284</v>
      </c>
    </row>
    <row r="8" spans="1:17" x14ac:dyDescent="0.25">
      <c r="A8" t="s">
        <v>2289</v>
      </c>
      <c r="B8" t="s">
        <v>2290</v>
      </c>
      <c r="C8" t="s">
        <v>2283</v>
      </c>
      <c r="D8">
        <v>36.150300000000001</v>
      </c>
      <c r="E8">
        <v>-107.9464</v>
      </c>
      <c r="F8">
        <v>6180</v>
      </c>
      <c r="G8" t="s">
        <v>1576</v>
      </c>
      <c r="K8">
        <v>0</v>
      </c>
      <c r="O8" t="s">
        <v>51</v>
      </c>
      <c r="Q8" t="s">
        <v>2284</v>
      </c>
    </row>
    <row r="9" spans="1:17" x14ac:dyDescent="0.25">
      <c r="A9" t="s">
        <v>24</v>
      </c>
      <c r="B9" t="s">
        <v>25</v>
      </c>
      <c r="C9" t="s">
        <v>26</v>
      </c>
      <c r="D9">
        <v>41.975000000000001</v>
      </c>
      <c r="E9">
        <v>-103.89166</v>
      </c>
      <c r="K9">
        <v>0</v>
      </c>
      <c r="O9" t="s">
        <v>20</v>
      </c>
      <c r="Q9" t="s">
        <v>21</v>
      </c>
    </row>
    <row r="10" spans="1:17" x14ac:dyDescent="0.25">
      <c r="A10" t="s">
        <v>1985</v>
      </c>
      <c r="B10" t="s">
        <v>1986</v>
      </c>
      <c r="C10" t="s">
        <v>1987</v>
      </c>
      <c r="D10">
        <v>34.231400000000001</v>
      </c>
      <c r="E10">
        <v>-113.6014</v>
      </c>
      <c r="F10">
        <v>1100</v>
      </c>
      <c r="G10" t="s">
        <v>1576</v>
      </c>
      <c r="K10">
        <v>0</v>
      </c>
      <c r="O10" t="s">
        <v>30</v>
      </c>
      <c r="Q10" t="s">
        <v>1988</v>
      </c>
    </row>
    <row r="11" spans="1:17" x14ac:dyDescent="0.25">
      <c r="A11" t="s">
        <v>35</v>
      </c>
      <c r="B11" t="s">
        <v>36</v>
      </c>
      <c r="C11" t="s">
        <v>37</v>
      </c>
      <c r="D11">
        <v>42.54889</v>
      </c>
      <c r="E11">
        <v>-106.72056000000001</v>
      </c>
      <c r="K11">
        <v>0</v>
      </c>
      <c r="O11" t="s">
        <v>30</v>
      </c>
      <c r="P11" t="s">
        <v>38</v>
      </c>
      <c r="Q11" t="s">
        <v>21</v>
      </c>
    </row>
    <row r="12" spans="1:17" x14ac:dyDescent="0.25">
      <c r="A12" t="s">
        <v>2293</v>
      </c>
      <c r="B12" t="s">
        <v>2294</v>
      </c>
      <c r="C12" t="s">
        <v>19</v>
      </c>
      <c r="D12">
        <v>38.854700000000001</v>
      </c>
      <c r="E12">
        <v>-107.92919999999999</v>
      </c>
      <c r="F12">
        <v>5500</v>
      </c>
      <c r="G12" t="s">
        <v>1576</v>
      </c>
      <c r="K12">
        <v>0</v>
      </c>
      <c r="O12" t="s">
        <v>20</v>
      </c>
      <c r="Q12" t="s">
        <v>2284</v>
      </c>
    </row>
    <row r="13" spans="1:17" x14ac:dyDescent="0.25">
      <c r="A13" t="s">
        <v>2291</v>
      </c>
      <c r="B13" t="s">
        <v>2292</v>
      </c>
      <c r="C13" t="s">
        <v>19</v>
      </c>
      <c r="D13">
        <v>38.826700000000002</v>
      </c>
      <c r="E13">
        <v>-107.95529999999999</v>
      </c>
      <c r="F13">
        <v>5650</v>
      </c>
      <c r="G13" t="s">
        <v>1576</v>
      </c>
      <c r="K13">
        <v>0</v>
      </c>
      <c r="O13" t="s">
        <v>34</v>
      </c>
      <c r="Q13" t="s">
        <v>2284</v>
      </c>
    </row>
    <row r="14" spans="1:17" x14ac:dyDescent="0.25">
      <c r="A14" t="s">
        <v>39</v>
      </c>
      <c r="B14" t="s">
        <v>40</v>
      </c>
      <c r="C14" t="s">
        <v>41</v>
      </c>
      <c r="D14">
        <v>48.610280000000003</v>
      </c>
      <c r="E14">
        <v>-109.24415999999999</v>
      </c>
      <c r="K14">
        <v>0</v>
      </c>
      <c r="O14" t="s">
        <v>34</v>
      </c>
      <c r="Q14" t="s">
        <v>21</v>
      </c>
    </row>
    <row r="15" spans="1:17" x14ac:dyDescent="0.25">
      <c r="A15" t="s">
        <v>1989</v>
      </c>
      <c r="B15" t="s">
        <v>1990</v>
      </c>
      <c r="C15" t="s">
        <v>1643</v>
      </c>
      <c r="D15">
        <v>32.871400000000001</v>
      </c>
      <c r="E15">
        <v>-114.47969999999999</v>
      </c>
      <c r="F15">
        <v>174.46</v>
      </c>
      <c r="G15" t="s">
        <v>1589</v>
      </c>
      <c r="K15">
        <v>0</v>
      </c>
      <c r="O15" t="s">
        <v>20</v>
      </c>
      <c r="Q15" t="s">
        <v>1988</v>
      </c>
    </row>
    <row r="16" spans="1:17" x14ac:dyDescent="0.25">
      <c r="A16" t="s">
        <v>42</v>
      </c>
      <c r="B16" t="s">
        <v>43</v>
      </c>
      <c r="C16" t="s">
        <v>44</v>
      </c>
      <c r="D16">
        <v>39.866109999999999</v>
      </c>
      <c r="E16">
        <v>-99.747219999999999</v>
      </c>
      <c r="K16">
        <v>0</v>
      </c>
      <c r="O16" t="s">
        <v>20</v>
      </c>
      <c r="Q16" t="s">
        <v>21</v>
      </c>
    </row>
    <row r="17" spans="1:17" x14ac:dyDescent="0.25">
      <c r="A17" t="s">
        <v>45</v>
      </c>
      <c r="B17" t="s">
        <v>46</v>
      </c>
      <c r="C17" t="s">
        <v>47</v>
      </c>
      <c r="D17">
        <v>34.887500000000003</v>
      </c>
      <c r="E17">
        <v>-99.296390000000002</v>
      </c>
      <c r="K17">
        <v>0</v>
      </c>
      <c r="O17" t="s">
        <v>30</v>
      </c>
      <c r="P17" t="s">
        <v>48</v>
      </c>
      <c r="Q17" t="s">
        <v>21</v>
      </c>
    </row>
    <row r="18" spans="1:17" x14ac:dyDescent="0.25">
      <c r="A18" t="s">
        <v>17</v>
      </c>
      <c r="B18" t="s">
        <v>18</v>
      </c>
      <c r="C18" t="s">
        <v>19</v>
      </c>
      <c r="D18">
        <v>40.327779999999997</v>
      </c>
      <c r="E18">
        <v>-105.5775</v>
      </c>
      <c r="K18">
        <v>0</v>
      </c>
      <c r="O18" t="s">
        <v>20</v>
      </c>
      <c r="Q18" t="s">
        <v>21</v>
      </c>
    </row>
    <row r="19" spans="1:17" x14ac:dyDescent="0.25">
      <c r="A19" t="s">
        <v>2285</v>
      </c>
      <c r="B19" t="s">
        <v>2286</v>
      </c>
      <c r="C19" t="s">
        <v>19</v>
      </c>
      <c r="D19">
        <v>40.327800000000003</v>
      </c>
      <c r="E19">
        <v>-105.5775</v>
      </c>
      <c r="G19" t="s">
        <v>1576</v>
      </c>
      <c r="K19">
        <v>0</v>
      </c>
      <c r="O19" t="s">
        <v>20</v>
      </c>
      <c r="Q19" t="s">
        <v>2284</v>
      </c>
    </row>
    <row r="20" spans="1:17" x14ac:dyDescent="0.25">
      <c r="A20" t="s">
        <v>2295</v>
      </c>
      <c r="B20" t="s">
        <v>2296</v>
      </c>
      <c r="C20" t="s">
        <v>86</v>
      </c>
      <c r="D20">
        <v>31.7669</v>
      </c>
      <c r="E20">
        <v>-106.52500000000001</v>
      </c>
      <c r="F20">
        <v>3727</v>
      </c>
      <c r="G20" t="s">
        <v>1576</v>
      </c>
      <c r="K20">
        <v>0</v>
      </c>
      <c r="O20" t="s">
        <v>34</v>
      </c>
      <c r="Q20" t="s">
        <v>2284</v>
      </c>
    </row>
    <row r="21" spans="1:17" x14ac:dyDescent="0.25">
      <c r="A21" t="s">
        <v>1597</v>
      </c>
      <c r="B21" t="s">
        <v>1598</v>
      </c>
      <c r="C21" t="s">
        <v>410</v>
      </c>
      <c r="D21">
        <v>42.779159999999997</v>
      </c>
      <c r="E21">
        <v>-112.87917</v>
      </c>
      <c r="F21">
        <v>4370</v>
      </c>
      <c r="G21" t="s">
        <v>1576</v>
      </c>
      <c r="H21" s="2">
        <v>0</v>
      </c>
      <c r="J21" t="s">
        <v>1594</v>
      </c>
      <c r="K21">
        <v>0</v>
      </c>
      <c r="L21" t="s">
        <v>1599</v>
      </c>
      <c r="O21" t="s">
        <v>30</v>
      </c>
      <c r="P21" t="s">
        <v>1585</v>
      </c>
      <c r="Q21" t="s">
        <v>1580</v>
      </c>
    </row>
    <row r="22" spans="1:17" x14ac:dyDescent="0.25">
      <c r="A22" t="s">
        <v>52</v>
      </c>
      <c r="B22" t="s">
        <v>53</v>
      </c>
      <c r="C22" t="s">
        <v>37</v>
      </c>
      <c r="D22">
        <v>43.663890000000002</v>
      </c>
      <c r="E22">
        <v>-108.82417</v>
      </c>
      <c r="K22">
        <v>0</v>
      </c>
      <c r="O22" t="s">
        <v>30</v>
      </c>
      <c r="P22" t="s">
        <v>54</v>
      </c>
      <c r="Q22" t="s">
        <v>21</v>
      </c>
    </row>
    <row r="23" spans="1:17" x14ac:dyDescent="0.25">
      <c r="A23" t="s">
        <v>27</v>
      </c>
      <c r="B23" t="s">
        <v>28</v>
      </c>
      <c r="C23" t="s">
        <v>29</v>
      </c>
      <c r="D23">
        <v>43.343330000000002</v>
      </c>
      <c r="E23">
        <v>-103.43832999999999</v>
      </c>
      <c r="K23">
        <v>0</v>
      </c>
      <c r="O23" t="s">
        <v>30</v>
      </c>
      <c r="P23" t="s">
        <v>31</v>
      </c>
      <c r="Q23" t="s">
        <v>21</v>
      </c>
    </row>
    <row r="24" spans="1:17" x14ac:dyDescent="0.25">
      <c r="A24" t="s">
        <v>2299</v>
      </c>
      <c r="B24" t="s">
        <v>2300</v>
      </c>
      <c r="C24" t="s">
        <v>19</v>
      </c>
      <c r="D24">
        <v>37.2669</v>
      </c>
      <c r="E24">
        <v>-107.8797</v>
      </c>
      <c r="F24">
        <v>6501.57</v>
      </c>
      <c r="G24" t="s">
        <v>1576</v>
      </c>
      <c r="K24">
        <v>0</v>
      </c>
      <c r="O24" t="s">
        <v>51</v>
      </c>
      <c r="Q24" t="s">
        <v>2284</v>
      </c>
    </row>
    <row r="25" spans="1:17" x14ac:dyDescent="0.25">
      <c r="A25" t="s">
        <v>2301</v>
      </c>
      <c r="B25" t="s">
        <v>2302</v>
      </c>
      <c r="C25" t="s">
        <v>2283</v>
      </c>
      <c r="D25">
        <v>36.721400000000003</v>
      </c>
      <c r="E25">
        <v>-108.20140000000001</v>
      </c>
      <c r="F25">
        <v>5280</v>
      </c>
      <c r="G25" t="s">
        <v>1576</v>
      </c>
      <c r="K25">
        <v>0</v>
      </c>
      <c r="O25" t="s">
        <v>51</v>
      </c>
      <c r="Q25" t="s">
        <v>2284</v>
      </c>
    </row>
    <row r="26" spans="1:17" x14ac:dyDescent="0.25">
      <c r="A26" t="s">
        <v>2303</v>
      </c>
      <c r="B26" t="s">
        <v>2304</v>
      </c>
      <c r="C26" t="s">
        <v>19</v>
      </c>
      <c r="D26">
        <v>37.816899999999997</v>
      </c>
      <c r="E26">
        <v>-107.5989</v>
      </c>
      <c r="F26">
        <v>9616.98</v>
      </c>
      <c r="G26" t="s">
        <v>1576</v>
      </c>
      <c r="K26">
        <v>0</v>
      </c>
      <c r="O26" t="s">
        <v>51</v>
      </c>
      <c r="Q26" t="s">
        <v>2284</v>
      </c>
    </row>
    <row r="27" spans="1:17" x14ac:dyDescent="0.25">
      <c r="A27" t="s">
        <v>2305</v>
      </c>
      <c r="B27" t="s">
        <v>2306</v>
      </c>
      <c r="C27" t="s">
        <v>19</v>
      </c>
      <c r="D27">
        <v>37.8003</v>
      </c>
      <c r="E27">
        <v>-107.65860000000001</v>
      </c>
      <c r="F27">
        <v>9290</v>
      </c>
      <c r="G27" t="s">
        <v>1576</v>
      </c>
      <c r="K27">
        <v>0</v>
      </c>
      <c r="O27" t="s">
        <v>51</v>
      </c>
      <c r="Q27" t="s">
        <v>2284</v>
      </c>
    </row>
    <row r="28" spans="1:17" x14ac:dyDescent="0.25">
      <c r="A28" t="s">
        <v>2297</v>
      </c>
      <c r="B28" t="s">
        <v>2298</v>
      </c>
      <c r="C28" t="s">
        <v>19</v>
      </c>
      <c r="D28">
        <v>37.566699999999997</v>
      </c>
      <c r="E28">
        <v>-107.77500000000001</v>
      </c>
      <c r="F28">
        <v>7520</v>
      </c>
      <c r="G28" t="s">
        <v>1576</v>
      </c>
      <c r="K28">
        <v>0</v>
      </c>
      <c r="O28" t="s">
        <v>51</v>
      </c>
      <c r="Q28" t="s">
        <v>2284</v>
      </c>
    </row>
    <row r="29" spans="1:17" x14ac:dyDescent="0.25">
      <c r="A29" t="s">
        <v>2307</v>
      </c>
      <c r="B29" t="s">
        <v>2308</v>
      </c>
      <c r="C29" t="s">
        <v>19</v>
      </c>
      <c r="D29">
        <v>37.249200000000002</v>
      </c>
      <c r="E29">
        <v>-107.8725</v>
      </c>
      <c r="G29" t="s">
        <v>1576</v>
      </c>
      <c r="K29">
        <v>0</v>
      </c>
      <c r="O29" t="s">
        <v>51</v>
      </c>
      <c r="Q29" t="s">
        <v>2284</v>
      </c>
    </row>
    <row r="30" spans="1:17" x14ac:dyDescent="0.25">
      <c r="A30" t="s">
        <v>2309</v>
      </c>
      <c r="B30" t="s">
        <v>2310</v>
      </c>
      <c r="C30" t="s">
        <v>19</v>
      </c>
      <c r="D30">
        <v>37.790300000000002</v>
      </c>
      <c r="E30">
        <v>-107.6669</v>
      </c>
      <c r="F30">
        <v>9200</v>
      </c>
      <c r="G30" t="s">
        <v>1576</v>
      </c>
      <c r="K30">
        <v>0</v>
      </c>
      <c r="O30" t="s">
        <v>51</v>
      </c>
      <c r="Q30" t="s">
        <v>2284</v>
      </c>
    </row>
    <row r="31" spans="1:17" x14ac:dyDescent="0.25">
      <c r="A31" t="s">
        <v>2311</v>
      </c>
      <c r="B31" t="s">
        <v>2312</v>
      </c>
      <c r="C31" t="s">
        <v>19</v>
      </c>
      <c r="D31">
        <v>37.0381</v>
      </c>
      <c r="E31">
        <v>-107.8736</v>
      </c>
      <c r="F31">
        <v>5960</v>
      </c>
      <c r="G31" t="s">
        <v>1576</v>
      </c>
      <c r="K31">
        <v>0</v>
      </c>
      <c r="O31" t="s">
        <v>51</v>
      </c>
      <c r="Q31" t="s">
        <v>2284</v>
      </c>
    </row>
    <row r="32" spans="1:17" x14ac:dyDescent="0.25">
      <c r="A32" t="s">
        <v>2313</v>
      </c>
      <c r="B32" t="s">
        <v>2314</v>
      </c>
      <c r="C32" t="s">
        <v>19</v>
      </c>
      <c r="D32">
        <v>37.33</v>
      </c>
      <c r="E32">
        <v>-105.0675</v>
      </c>
      <c r="F32">
        <v>10000</v>
      </c>
      <c r="G32" t="s">
        <v>1576</v>
      </c>
      <c r="K32">
        <v>0</v>
      </c>
      <c r="O32" t="s">
        <v>57</v>
      </c>
      <c r="Q32" t="s">
        <v>2284</v>
      </c>
    </row>
    <row r="33" spans="1:17" x14ac:dyDescent="0.25">
      <c r="A33" t="s">
        <v>55</v>
      </c>
      <c r="B33" t="s">
        <v>56</v>
      </c>
      <c r="C33" t="s">
        <v>19</v>
      </c>
      <c r="D33">
        <v>37.333329999999997</v>
      </c>
      <c r="E33">
        <v>-105.06667</v>
      </c>
      <c r="F33">
        <v>9910</v>
      </c>
      <c r="K33">
        <v>0</v>
      </c>
      <c r="O33" t="s">
        <v>57</v>
      </c>
      <c r="Q33" t="s">
        <v>21</v>
      </c>
    </row>
    <row r="34" spans="1:17" x14ac:dyDescent="0.25">
      <c r="A34" t="s">
        <v>62</v>
      </c>
      <c r="B34" t="s">
        <v>63</v>
      </c>
      <c r="C34" t="s">
        <v>37</v>
      </c>
      <c r="D34">
        <v>43.191670000000002</v>
      </c>
      <c r="E34">
        <v>-108.78389</v>
      </c>
      <c r="K34">
        <v>0</v>
      </c>
      <c r="O34" t="s">
        <v>34</v>
      </c>
      <c r="Q34" t="s">
        <v>21</v>
      </c>
    </row>
    <row r="35" spans="1:17" x14ac:dyDescent="0.25">
      <c r="A35" t="s">
        <v>58</v>
      </c>
      <c r="B35" t="s">
        <v>59</v>
      </c>
      <c r="C35" t="s">
        <v>19</v>
      </c>
      <c r="D35">
        <v>40.35</v>
      </c>
      <c r="E35">
        <v>-106.38333</v>
      </c>
      <c r="F35">
        <v>10960</v>
      </c>
      <c r="K35">
        <v>0</v>
      </c>
      <c r="O35" t="s">
        <v>57</v>
      </c>
      <c r="Q35" t="s">
        <v>21</v>
      </c>
    </row>
    <row r="36" spans="1:17" x14ac:dyDescent="0.25">
      <c r="A36" t="s">
        <v>60</v>
      </c>
      <c r="B36" t="s">
        <v>61</v>
      </c>
      <c r="C36" t="s">
        <v>47</v>
      </c>
      <c r="D36">
        <v>34.43056</v>
      </c>
      <c r="E36">
        <v>-97.030559999999994</v>
      </c>
      <c r="K36">
        <v>0</v>
      </c>
      <c r="O36" t="s">
        <v>30</v>
      </c>
      <c r="P36" t="s">
        <v>48</v>
      </c>
      <c r="Q36" t="s">
        <v>21</v>
      </c>
    </row>
    <row r="37" spans="1:17" x14ac:dyDescent="0.25">
      <c r="A37" t="s">
        <v>372</v>
      </c>
      <c r="B37" t="s">
        <v>373</v>
      </c>
      <c r="C37" t="s">
        <v>37</v>
      </c>
      <c r="D37">
        <v>44.501390000000001</v>
      </c>
      <c r="E37">
        <v>-109.18333</v>
      </c>
      <c r="F37">
        <v>5360</v>
      </c>
      <c r="K37">
        <v>0</v>
      </c>
      <c r="O37" t="s">
        <v>34</v>
      </c>
      <c r="Q37" t="s">
        <v>21</v>
      </c>
    </row>
    <row r="38" spans="1:17" x14ac:dyDescent="0.25">
      <c r="A38" t="s">
        <v>78</v>
      </c>
      <c r="B38" t="s">
        <v>79</v>
      </c>
      <c r="C38" t="s">
        <v>19</v>
      </c>
      <c r="D38">
        <v>38.271389999999997</v>
      </c>
      <c r="E38">
        <v>-104.71832999999999</v>
      </c>
      <c r="K38">
        <v>0</v>
      </c>
      <c r="O38" t="s">
        <v>51</v>
      </c>
      <c r="Q38" t="s">
        <v>21</v>
      </c>
    </row>
    <row r="39" spans="1:17" x14ac:dyDescent="0.25">
      <c r="A39" t="s">
        <v>66</v>
      </c>
      <c r="B39" t="s">
        <v>67</v>
      </c>
      <c r="C39" t="s">
        <v>19</v>
      </c>
      <c r="D39">
        <v>38.424999999999997</v>
      </c>
      <c r="E39">
        <v>-105.26167</v>
      </c>
      <c r="K39">
        <v>0</v>
      </c>
      <c r="O39" t="s">
        <v>51</v>
      </c>
      <c r="Q39" t="s">
        <v>21</v>
      </c>
    </row>
    <row r="40" spans="1:17" x14ac:dyDescent="0.25">
      <c r="A40" t="s">
        <v>68</v>
      </c>
      <c r="B40" t="s">
        <v>69</v>
      </c>
      <c r="C40" t="s">
        <v>19</v>
      </c>
      <c r="D40">
        <v>38.095550000000003</v>
      </c>
      <c r="E40">
        <v>-102.31028000000001</v>
      </c>
      <c r="K40">
        <v>0</v>
      </c>
      <c r="O40" t="s">
        <v>51</v>
      </c>
      <c r="Q40" t="s">
        <v>21</v>
      </c>
    </row>
    <row r="41" spans="1:17" x14ac:dyDescent="0.25">
      <c r="A41" t="s">
        <v>70</v>
      </c>
      <c r="B41" t="s">
        <v>71</v>
      </c>
      <c r="C41" t="s">
        <v>19</v>
      </c>
      <c r="D41">
        <v>39.04278</v>
      </c>
      <c r="E41">
        <v>-106.26527</v>
      </c>
      <c r="K41">
        <v>0</v>
      </c>
      <c r="O41" t="s">
        <v>51</v>
      </c>
      <c r="Q41" t="s">
        <v>21</v>
      </c>
    </row>
    <row r="42" spans="1:17" x14ac:dyDescent="0.25">
      <c r="A42" t="s">
        <v>76</v>
      </c>
      <c r="B42" t="s">
        <v>77</v>
      </c>
      <c r="C42" t="s">
        <v>19</v>
      </c>
      <c r="D42">
        <v>38.388339999999999</v>
      </c>
      <c r="E42">
        <v>-105.01555999999999</v>
      </c>
      <c r="K42">
        <v>0</v>
      </c>
      <c r="O42" t="s">
        <v>51</v>
      </c>
      <c r="Q42" t="s">
        <v>21</v>
      </c>
    </row>
    <row r="43" spans="1:17" x14ac:dyDescent="0.25">
      <c r="A43" t="s">
        <v>80</v>
      </c>
      <c r="B43" t="s">
        <v>81</v>
      </c>
      <c r="C43" t="s">
        <v>19</v>
      </c>
      <c r="D43">
        <v>38.545830000000002</v>
      </c>
      <c r="E43">
        <v>-106.01</v>
      </c>
      <c r="K43">
        <v>0</v>
      </c>
      <c r="O43" t="s">
        <v>51</v>
      </c>
      <c r="Q43" t="s">
        <v>21</v>
      </c>
    </row>
    <row r="44" spans="1:17" x14ac:dyDescent="0.25">
      <c r="A44" t="s">
        <v>64</v>
      </c>
      <c r="B44" t="s">
        <v>65</v>
      </c>
      <c r="C44" t="s">
        <v>19</v>
      </c>
      <c r="D44">
        <v>38.248049999999999</v>
      </c>
      <c r="E44">
        <v>-104.39861000000001</v>
      </c>
      <c r="K44">
        <v>0</v>
      </c>
      <c r="O44" t="s">
        <v>51</v>
      </c>
      <c r="Q44" t="s">
        <v>21</v>
      </c>
    </row>
    <row r="45" spans="1:17" x14ac:dyDescent="0.25">
      <c r="A45" t="s">
        <v>72</v>
      </c>
      <c r="B45" t="s">
        <v>73</v>
      </c>
      <c r="C45" t="s">
        <v>19</v>
      </c>
      <c r="D45">
        <v>38.652230000000003</v>
      </c>
      <c r="E45">
        <v>-106.05056</v>
      </c>
      <c r="K45">
        <v>0</v>
      </c>
      <c r="O45" t="s">
        <v>51</v>
      </c>
      <c r="Q45" t="s">
        <v>21</v>
      </c>
    </row>
    <row r="46" spans="1:17" x14ac:dyDescent="0.25">
      <c r="A46" t="s">
        <v>74</v>
      </c>
      <c r="B46" t="s">
        <v>75</v>
      </c>
      <c r="C46" t="s">
        <v>19</v>
      </c>
      <c r="D46">
        <v>38.184170000000002</v>
      </c>
      <c r="E46">
        <v>-104.17278</v>
      </c>
      <c r="K46">
        <v>0</v>
      </c>
      <c r="O46" t="s">
        <v>51</v>
      </c>
      <c r="Q46" t="s">
        <v>21</v>
      </c>
    </row>
    <row r="47" spans="1:17" x14ac:dyDescent="0.25">
      <c r="A47" t="s">
        <v>82</v>
      </c>
      <c r="B47" t="s">
        <v>83</v>
      </c>
      <c r="C47" t="s">
        <v>19</v>
      </c>
      <c r="D47">
        <v>38.502780000000001</v>
      </c>
      <c r="E47">
        <v>-105.93971999999999</v>
      </c>
      <c r="K47">
        <v>0</v>
      </c>
      <c r="O47" t="s">
        <v>51</v>
      </c>
      <c r="Q47" t="s">
        <v>21</v>
      </c>
    </row>
    <row r="48" spans="1:17" x14ac:dyDescent="0.25">
      <c r="A48" t="s">
        <v>2315</v>
      </c>
      <c r="B48" t="s">
        <v>2316</v>
      </c>
      <c r="C48" t="s">
        <v>19</v>
      </c>
      <c r="D48">
        <v>39.916699999999999</v>
      </c>
      <c r="E48">
        <v>-105.75</v>
      </c>
      <c r="F48">
        <v>9680</v>
      </c>
      <c r="G48" t="s">
        <v>1576</v>
      </c>
      <c r="K48">
        <v>0</v>
      </c>
      <c r="O48" t="s">
        <v>57</v>
      </c>
      <c r="Q48" t="s">
        <v>2284</v>
      </c>
    </row>
    <row r="49" spans="1:17" x14ac:dyDescent="0.25">
      <c r="A49" t="s">
        <v>1590</v>
      </c>
      <c r="B49" t="s">
        <v>1591</v>
      </c>
      <c r="C49" t="s">
        <v>410</v>
      </c>
      <c r="D49">
        <v>44.024999999999999</v>
      </c>
      <c r="E49">
        <v>-111.46666</v>
      </c>
      <c r="F49">
        <v>1615.44</v>
      </c>
      <c r="G49" t="s">
        <v>1576</v>
      </c>
      <c r="H49" s="1">
        <v>31929</v>
      </c>
      <c r="J49" t="s">
        <v>1577</v>
      </c>
      <c r="K49">
        <v>0</v>
      </c>
      <c r="L49" t="s">
        <v>1578</v>
      </c>
      <c r="O49" t="s">
        <v>151</v>
      </c>
      <c r="P49" t="s">
        <v>1585</v>
      </c>
      <c r="Q49" t="s">
        <v>1580</v>
      </c>
    </row>
    <row r="50" spans="1:17" x14ac:dyDescent="0.25">
      <c r="A50" t="s">
        <v>89</v>
      </c>
      <c r="B50" t="s">
        <v>90</v>
      </c>
      <c r="C50" t="s">
        <v>86</v>
      </c>
      <c r="D50">
        <v>28.621939999999999</v>
      </c>
      <c r="E50">
        <v>-98.281109999999998</v>
      </c>
      <c r="K50">
        <v>0</v>
      </c>
      <c r="O50" t="s">
        <v>51</v>
      </c>
      <c r="Q50" t="s">
        <v>21</v>
      </c>
    </row>
    <row r="51" spans="1:17" x14ac:dyDescent="0.25">
      <c r="A51" t="s">
        <v>84</v>
      </c>
      <c r="B51" t="s">
        <v>85</v>
      </c>
      <c r="C51" t="s">
        <v>86</v>
      </c>
      <c r="D51">
        <v>28.845829999999999</v>
      </c>
      <c r="E51">
        <v>-98.336110000000005</v>
      </c>
      <c r="K51">
        <v>0</v>
      </c>
      <c r="O51" t="s">
        <v>51</v>
      </c>
      <c r="Q51" t="s">
        <v>21</v>
      </c>
    </row>
    <row r="52" spans="1:17" x14ac:dyDescent="0.25">
      <c r="A52" t="s">
        <v>1606</v>
      </c>
      <c r="B52" t="s">
        <v>1607</v>
      </c>
      <c r="C52" t="s">
        <v>1588</v>
      </c>
      <c r="D52">
        <v>45.281939999999999</v>
      </c>
      <c r="E52">
        <v>-122.75027</v>
      </c>
      <c r="F52">
        <v>42.67</v>
      </c>
      <c r="G52" t="s">
        <v>1589</v>
      </c>
      <c r="H52" s="1">
        <v>36090</v>
      </c>
      <c r="J52" t="s">
        <v>1577</v>
      </c>
      <c r="K52">
        <v>0</v>
      </c>
      <c r="L52" t="s">
        <v>1578</v>
      </c>
      <c r="O52" t="s">
        <v>151</v>
      </c>
      <c r="P52" t="s">
        <v>1585</v>
      </c>
      <c r="Q52" t="s">
        <v>1580</v>
      </c>
    </row>
    <row r="53" spans="1:17" x14ac:dyDescent="0.25">
      <c r="A53" t="s">
        <v>2317</v>
      </c>
      <c r="B53" t="s">
        <v>2318</v>
      </c>
      <c r="C53" t="s">
        <v>2283</v>
      </c>
      <c r="D53">
        <v>32.4908</v>
      </c>
      <c r="E53">
        <v>-104.2514</v>
      </c>
      <c r="F53">
        <v>3194</v>
      </c>
      <c r="G53" t="s">
        <v>1576</v>
      </c>
      <c r="K53">
        <v>0</v>
      </c>
      <c r="O53" t="s">
        <v>30</v>
      </c>
      <c r="Q53" t="s">
        <v>2284</v>
      </c>
    </row>
    <row r="54" spans="1:17" x14ac:dyDescent="0.25">
      <c r="A54" t="s">
        <v>2319</v>
      </c>
      <c r="B54" t="s">
        <v>2320</v>
      </c>
      <c r="C54" t="s">
        <v>2283</v>
      </c>
      <c r="D54">
        <v>34.01</v>
      </c>
      <c r="E54">
        <v>-106.41</v>
      </c>
      <c r="G54" t="s">
        <v>1576</v>
      </c>
      <c r="K54">
        <v>0</v>
      </c>
      <c r="O54" t="s">
        <v>20</v>
      </c>
      <c r="Q54" t="s">
        <v>2284</v>
      </c>
    </row>
    <row r="55" spans="1:17" x14ac:dyDescent="0.25">
      <c r="A55" t="s">
        <v>135</v>
      </c>
      <c r="B55" t="s">
        <v>136</v>
      </c>
      <c r="C55" t="s">
        <v>41</v>
      </c>
      <c r="D55">
        <v>48.37</v>
      </c>
      <c r="E55">
        <v>-112.80195000000001</v>
      </c>
      <c r="K55">
        <v>0</v>
      </c>
      <c r="O55" t="s">
        <v>51</v>
      </c>
      <c r="Q55" t="s">
        <v>21</v>
      </c>
    </row>
    <row r="56" spans="1:17" x14ac:dyDescent="0.25">
      <c r="A56" t="s">
        <v>97</v>
      </c>
      <c r="B56" t="s">
        <v>98</v>
      </c>
      <c r="C56" t="s">
        <v>41</v>
      </c>
      <c r="D56">
        <v>48.133339999999997</v>
      </c>
      <c r="E56">
        <v>-113.03333000000001</v>
      </c>
      <c r="F56">
        <v>6900</v>
      </c>
      <c r="K56">
        <v>0</v>
      </c>
      <c r="O56" t="s">
        <v>57</v>
      </c>
      <c r="Q56" t="s">
        <v>21</v>
      </c>
    </row>
    <row r="57" spans="1:17" x14ac:dyDescent="0.25">
      <c r="A57" t="s">
        <v>1618</v>
      </c>
      <c r="B57" t="s">
        <v>1619</v>
      </c>
      <c r="C57" t="s">
        <v>1588</v>
      </c>
      <c r="D57">
        <v>44.882770000000001</v>
      </c>
      <c r="E57">
        <v>-117.96277000000001</v>
      </c>
      <c r="F57">
        <v>1042.42</v>
      </c>
      <c r="G57" t="s">
        <v>1589</v>
      </c>
      <c r="H57" s="1">
        <v>36982</v>
      </c>
      <c r="J57" t="s">
        <v>1577</v>
      </c>
      <c r="K57">
        <v>0</v>
      </c>
      <c r="L57" t="s">
        <v>1578</v>
      </c>
      <c r="O57" t="s">
        <v>151</v>
      </c>
      <c r="P57" t="s">
        <v>1585</v>
      </c>
      <c r="Q57" t="s">
        <v>1580</v>
      </c>
    </row>
    <row r="58" spans="1:17" x14ac:dyDescent="0.25">
      <c r="A58" t="s">
        <v>198</v>
      </c>
      <c r="B58" t="s">
        <v>199</v>
      </c>
      <c r="C58" t="s">
        <v>37</v>
      </c>
      <c r="D58">
        <v>44.8</v>
      </c>
      <c r="E58">
        <v>-107.85</v>
      </c>
      <c r="F58">
        <v>9380</v>
      </c>
      <c r="K58">
        <v>0</v>
      </c>
      <c r="O58" t="s">
        <v>57</v>
      </c>
      <c r="Q58" t="s">
        <v>21</v>
      </c>
    </row>
    <row r="59" spans="1:17" x14ac:dyDescent="0.25">
      <c r="A59" t="s">
        <v>1608</v>
      </c>
      <c r="B59" t="s">
        <v>1609</v>
      </c>
      <c r="C59" t="s">
        <v>1588</v>
      </c>
      <c r="D59">
        <v>43.09111</v>
      </c>
      <c r="E59">
        <v>-124.41722</v>
      </c>
      <c r="F59">
        <v>24.38</v>
      </c>
      <c r="G59" t="s">
        <v>1589</v>
      </c>
      <c r="H59" s="1">
        <v>31168</v>
      </c>
      <c r="J59" t="s">
        <v>1577</v>
      </c>
      <c r="K59">
        <v>0</v>
      </c>
      <c r="L59" t="s">
        <v>1578</v>
      </c>
      <c r="O59" t="s">
        <v>151</v>
      </c>
      <c r="P59" t="s">
        <v>1585</v>
      </c>
      <c r="Q59" t="s">
        <v>1580</v>
      </c>
    </row>
    <row r="60" spans="1:17" x14ac:dyDescent="0.25">
      <c r="A60" t="s">
        <v>101</v>
      </c>
      <c r="B60" t="s">
        <v>102</v>
      </c>
      <c r="C60" t="s">
        <v>26</v>
      </c>
      <c r="D60">
        <v>40.223610000000001</v>
      </c>
      <c r="E60">
        <v>-100.38223000000001</v>
      </c>
      <c r="K60">
        <v>0</v>
      </c>
      <c r="O60" t="s">
        <v>34</v>
      </c>
      <c r="Q60" t="s">
        <v>21</v>
      </c>
    </row>
    <row r="61" spans="1:17" x14ac:dyDescent="0.25">
      <c r="A61" t="s">
        <v>103</v>
      </c>
      <c r="B61" t="s">
        <v>104</v>
      </c>
      <c r="C61" t="s">
        <v>26</v>
      </c>
      <c r="D61">
        <v>40.265000000000001</v>
      </c>
      <c r="E61">
        <v>-100.04583</v>
      </c>
      <c r="K61">
        <v>0</v>
      </c>
      <c r="O61" t="s">
        <v>34</v>
      </c>
      <c r="Q61" t="s">
        <v>21</v>
      </c>
    </row>
    <row r="62" spans="1:17" x14ac:dyDescent="0.25">
      <c r="A62" t="s">
        <v>137</v>
      </c>
      <c r="B62" t="s">
        <v>138</v>
      </c>
      <c r="C62" t="s">
        <v>26</v>
      </c>
      <c r="D62">
        <v>40.229170000000003</v>
      </c>
      <c r="E62">
        <v>-100.38333</v>
      </c>
      <c r="K62">
        <v>0</v>
      </c>
      <c r="O62" t="s">
        <v>20</v>
      </c>
      <c r="Q62" t="s">
        <v>21</v>
      </c>
    </row>
    <row r="63" spans="1:17" x14ac:dyDescent="0.25">
      <c r="A63" t="s">
        <v>1991</v>
      </c>
      <c r="B63" t="s">
        <v>1992</v>
      </c>
      <c r="C63" t="s">
        <v>1604</v>
      </c>
      <c r="D63">
        <v>36.049999999999997</v>
      </c>
      <c r="E63">
        <v>-114.8</v>
      </c>
      <c r="G63" t="s">
        <v>1589</v>
      </c>
      <c r="K63">
        <v>0</v>
      </c>
      <c r="O63" t="s">
        <v>20</v>
      </c>
      <c r="Q63" t="s">
        <v>1988</v>
      </c>
    </row>
    <row r="64" spans="1:17" x14ac:dyDescent="0.25">
      <c r="A64" t="s">
        <v>2321</v>
      </c>
      <c r="B64" t="s">
        <v>2322</v>
      </c>
      <c r="C64" t="s">
        <v>2283</v>
      </c>
      <c r="D64">
        <v>36.5167</v>
      </c>
      <c r="E64">
        <v>-106.3167</v>
      </c>
      <c r="F64">
        <v>9300</v>
      </c>
      <c r="G64" t="s">
        <v>1576</v>
      </c>
      <c r="K64">
        <v>0</v>
      </c>
      <c r="O64" t="s">
        <v>57</v>
      </c>
      <c r="Q64" t="s">
        <v>2284</v>
      </c>
    </row>
    <row r="65" spans="1:17" x14ac:dyDescent="0.25">
      <c r="A65" t="s">
        <v>129</v>
      </c>
      <c r="B65" t="s">
        <v>130</v>
      </c>
      <c r="C65" t="s">
        <v>41</v>
      </c>
      <c r="D65">
        <v>49.001950000000001</v>
      </c>
      <c r="E65">
        <v>-109.42166</v>
      </c>
      <c r="K65">
        <v>0</v>
      </c>
      <c r="O65" t="s">
        <v>51</v>
      </c>
      <c r="Q65" t="s">
        <v>21</v>
      </c>
    </row>
    <row r="66" spans="1:17" x14ac:dyDescent="0.25">
      <c r="A66" t="s">
        <v>95</v>
      </c>
      <c r="B66" t="s">
        <v>96</v>
      </c>
      <c r="C66" t="s">
        <v>41</v>
      </c>
      <c r="D66">
        <v>48.584440000000001</v>
      </c>
      <c r="E66">
        <v>-109.09860999999999</v>
      </c>
      <c r="K66">
        <v>0</v>
      </c>
      <c r="O66" t="s">
        <v>51</v>
      </c>
      <c r="Q66" t="s">
        <v>21</v>
      </c>
    </row>
    <row r="67" spans="1:17" x14ac:dyDescent="0.25">
      <c r="A67" t="s">
        <v>2323</v>
      </c>
      <c r="B67" t="s">
        <v>2324</v>
      </c>
      <c r="C67" t="s">
        <v>37</v>
      </c>
      <c r="D67">
        <v>41.05</v>
      </c>
      <c r="E67">
        <v>-107.2667</v>
      </c>
      <c r="F67">
        <v>7440</v>
      </c>
      <c r="G67" t="s">
        <v>1576</v>
      </c>
      <c r="K67">
        <v>0</v>
      </c>
      <c r="O67" t="s">
        <v>57</v>
      </c>
      <c r="Q67" t="s">
        <v>2284</v>
      </c>
    </row>
    <row r="68" spans="1:17" x14ac:dyDescent="0.25">
      <c r="A68" t="s">
        <v>139</v>
      </c>
      <c r="B68" t="s">
        <v>140</v>
      </c>
      <c r="C68" t="s">
        <v>41</v>
      </c>
      <c r="D68">
        <v>44.466670000000001</v>
      </c>
      <c r="E68">
        <v>-112.98333</v>
      </c>
      <c r="F68">
        <v>8850</v>
      </c>
      <c r="K68">
        <v>0</v>
      </c>
      <c r="O68" t="s">
        <v>57</v>
      </c>
      <c r="Q68" t="s">
        <v>21</v>
      </c>
    </row>
    <row r="69" spans="1:17" x14ac:dyDescent="0.25">
      <c r="A69" t="s">
        <v>200</v>
      </c>
      <c r="B69" t="s">
        <v>201</v>
      </c>
      <c r="C69" t="s">
        <v>19</v>
      </c>
      <c r="D69">
        <v>40.299999999999997</v>
      </c>
      <c r="E69">
        <v>-105.63333</v>
      </c>
      <c r="F69">
        <v>9500</v>
      </c>
      <c r="K69">
        <v>0</v>
      </c>
      <c r="O69" t="s">
        <v>57</v>
      </c>
      <c r="Q69" t="s">
        <v>21</v>
      </c>
    </row>
    <row r="70" spans="1:17" x14ac:dyDescent="0.25">
      <c r="A70" t="s">
        <v>270</v>
      </c>
      <c r="B70" t="s">
        <v>271</v>
      </c>
      <c r="C70" t="s">
        <v>37</v>
      </c>
      <c r="D70">
        <v>43.883339999999997</v>
      </c>
      <c r="E70">
        <v>-107.06667</v>
      </c>
      <c r="F70">
        <v>8200</v>
      </c>
      <c r="K70">
        <v>0</v>
      </c>
      <c r="O70" t="s">
        <v>57</v>
      </c>
      <c r="Q70" t="s">
        <v>21</v>
      </c>
    </row>
    <row r="71" spans="1:17" x14ac:dyDescent="0.25">
      <c r="A71" t="s">
        <v>3479</v>
      </c>
      <c r="B71" t="s">
        <v>3480</v>
      </c>
      <c r="C71" t="s">
        <v>1643</v>
      </c>
      <c r="D71">
        <v>38.203000000000003</v>
      </c>
      <c r="E71">
        <v>-120.075</v>
      </c>
      <c r="F71">
        <v>3398</v>
      </c>
      <c r="G71" t="s">
        <v>1589</v>
      </c>
      <c r="K71">
        <v>0</v>
      </c>
      <c r="O71" t="s">
        <v>30</v>
      </c>
      <c r="Q71" t="s">
        <v>3478</v>
      </c>
    </row>
    <row r="72" spans="1:17" x14ac:dyDescent="0.25">
      <c r="A72" t="s">
        <v>206</v>
      </c>
      <c r="B72" t="s">
        <v>207</v>
      </c>
      <c r="C72" t="s">
        <v>37</v>
      </c>
      <c r="D72">
        <v>44.783329999999999</v>
      </c>
      <c r="E72">
        <v>-109.56667</v>
      </c>
      <c r="F72">
        <v>9275</v>
      </c>
      <c r="K72">
        <v>0</v>
      </c>
      <c r="O72" t="s">
        <v>57</v>
      </c>
      <c r="Q72" t="s">
        <v>21</v>
      </c>
    </row>
    <row r="73" spans="1:17" x14ac:dyDescent="0.25">
      <c r="A73" t="s">
        <v>2325</v>
      </c>
      <c r="B73" t="s">
        <v>2326</v>
      </c>
      <c r="C73" t="s">
        <v>19</v>
      </c>
      <c r="D73">
        <v>37.716700000000003</v>
      </c>
      <c r="E73">
        <v>-107.5167</v>
      </c>
      <c r="F73">
        <v>11600</v>
      </c>
      <c r="G73" t="s">
        <v>1576</v>
      </c>
      <c r="K73">
        <v>0</v>
      </c>
      <c r="O73" t="s">
        <v>57</v>
      </c>
      <c r="Q73" t="s">
        <v>2284</v>
      </c>
    </row>
    <row r="74" spans="1:17" x14ac:dyDescent="0.25">
      <c r="A74" t="s">
        <v>1610</v>
      </c>
      <c r="B74" t="s">
        <v>1611</v>
      </c>
      <c r="C74" t="s">
        <v>1588</v>
      </c>
      <c r="D74">
        <v>42.478050000000003</v>
      </c>
      <c r="E74">
        <v>-121.27388000000001</v>
      </c>
      <c r="F74">
        <v>1316.74</v>
      </c>
      <c r="G74" t="s">
        <v>1589</v>
      </c>
      <c r="H74" s="1">
        <v>38279</v>
      </c>
      <c r="J74" t="s">
        <v>1577</v>
      </c>
      <c r="K74">
        <v>0</v>
      </c>
      <c r="L74" t="s">
        <v>1578</v>
      </c>
      <c r="O74" t="s">
        <v>151</v>
      </c>
      <c r="P74" t="s">
        <v>1585</v>
      </c>
      <c r="Q74" t="s">
        <v>1580</v>
      </c>
    </row>
    <row r="75" spans="1:17" x14ac:dyDescent="0.25">
      <c r="A75" t="s">
        <v>123</v>
      </c>
      <c r="B75" t="s">
        <v>124</v>
      </c>
      <c r="C75" t="s">
        <v>41</v>
      </c>
      <c r="D75">
        <v>48.221670000000003</v>
      </c>
      <c r="E75">
        <v>-109.65083</v>
      </c>
      <c r="K75">
        <v>0</v>
      </c>
      <c r="O75" t="s">
        <v>51</v>
      </c>
      <c r="Q75" t="s">
        <v>21</v>
      </c>
    </row>
    <row r="76" spans="1:17" x14ac:dyDescent="0.25">
      <c r="A76" t="s">
        <v>121</v>
      </c>
      <c r="B76" t="s">
        <v>122</v>
      </c>
      <c r="C76" t="s">
        <v>26</v>
      </c>
      <c r="D76">
        <v>40.119999999999997</v>
      </c>
      <c r="E76">
        <v>-99.892219999999995</v>
      </c>
      <c r="K76">
        <v>0</v>
      </c>
      <c r="O76" t="s">
        <v>51</v>
      </c>
      <c r="Q76" t="s">
        <v>21</v>
      </c>
    </row>
    <row r="77" spans="1:17" x14ac:dyDescent="0.25">
      <c r="A77" t="s">
        <v>127</v>
      </c>
      <c r="B77" t="s">
        <v>128</v>
      </c>
      <c r="C77" t="s">
        <v>41</v>
      </c>
      <c r="D77">
        <v>48.419449999999998</v>
      </c>
      <c r="E77">
        <v>-107.17055999999999</v>
      </c>
      <c r="K77">
        <v>0</v>
      </c>
      <c r="O77" t="s">
        <v>51</v>
      </c>
      <c r="Q77" t="s">
        <v>21</v>
      </c>
    </row>
    <row r="78" spans="1:17" x14ac:dyDescent="0.25">
      <c r="A78" t="s">
        <v>2327</v>
      </c>
      <c r="B78" t="s">
        <v>2328</v>
      </c>
      <c r="C78" t="s">
        <v>19</v>
      </c>
      <c r="D78">
        <v>37.97</v>
      </c>
      <c r="E78">
        <v>-108.19499999999999</v>
      </c>
      <c r="F78">
        <v>8010</v>
      </c>
      <c r="G78" t="s">
        <v>1576</v>
      </c>
      <c r="K78">
        <v>0</v>
      </c>
      <c r="O78" t="s">
        <v>51</v>
      </c>
      <c r="Q78" t="s">
        <v>2284</v>
      </c>
    </row>
    <row r="79" spans="1:17" x14ac:dyDescent="0.25">
      <c r="A79" t="s">
        <v>147</v>
      </c>
      <c r="B79" t="s">
        <v>148</v>
      </c>
      <c r="C79" t="s">
        <v>41</v>
      </c>
      <c r="D79">
        <v>43.663890000000002</v>
      </c>
      <c r="E79">
        <v>-108.82417</v>
      </c>
      <c r="K79">
        <v>0</v>
      </c>
      <c r="O79" t="s">
        <v>30</v>
      </c>
      <c r="Q79" t="s">
        <v>21</v>
      </c>
    </row>
    <row r="80" spans="1:17" x14ac:dyDescent="0.25">
      <c r="A80" t="s">
        <v>145</v>
      </c>
      <c r="B80" t="s">
        <v>146</v>
      </c>
      <c r="C80" t="s">
        <v>41</v>
      </c>
      <c r="D80">
        <v>44.95</v>
      </c>
      <c r="E80">
        <v>-111.35</v>
      </c>
      <c r="F80">
        <v>7850</v>
      </c>
      <c r="K80">
        <v>0</v>
      </c>
      <c r="O80" t="s">
        <v>57</v>
      </c>
      <c r="Q80" t="s">
        <v>21</v>
      </c>
    </row>
    <row r="81" spans="1:17" x14ac:dyDescent="0.25">
      <c r="A81" t="s">
        <v>2329</v>
      </c>
      <c r="B81" t="s">
        <v>2330</v>
      </c>
      <c r="C81" t="s">
        <v>1622</v>
      </c>
      <c r="D81">
        <v>39.133299999999998</v>
      </c>
      <c r="E81">
        <v>-111.55</v>
      </c>
      <c r="F81">
        <v>8000</v>
      </c>
      <c r="G81" t="s">
        <v>1576</v>
      </c>
      <c r="K81">
        <v>0</v>
      </c>
      <c r="O81" t="s">
        <v>57</v>
      </c>
      <c r="Q81" t="s">
        <v>2284</v>
      </c>
    </row>
    <row r="82" spans="1:17" x14ac:dyDescent="0.25">
      <c r="A82" t="s">
        <v>2331</v>
      </c>
      <c r="B82" t="s">
        <v>2332</v>
      </c>
      <c r="C82" t="s">
        <v>1622</v>
      </c>
      <c r="D82">
        <v>40.616700000000002</v>
      </c>
      <c r="E82">
        <v>-111.0667</v>
      </c>
      <c r="F82">
        <v>8280</v>
      </c>
      <c r="G82" t="s">
        <v>1576</v>
      </c>
      <c r="K82">
        <v>0</v>
      </c>
      <c r="O82" t="s">
        <v>57</v>
      </c>
      <c r="Q82" t="s">
        <v>2284</v>
      </c>
    </row>
    <row r="83" spans="1:17" x14ac:dyDescent="0.25">
      <c r="A83" t="s">
        <v>99</v>
      </c>
      <c r="B83" t="s">
        <v>100</v>
      </c>
      <c r="C83" t="s">
        <v>41</v>
      </c>
      <c r="D83">
        <v>48.305549999999997</v>
      </c>
      <c r="E83">
        <v>-112.56223</v>
      </c>
      <c r="K83">
        <v>0</v>
      </c>
      <c r="O83" t="s">
        <v>51</v>
      </c>
      <c r="Q83" t="s">
        <v>21</v>
      </c>
    </row>
    <row r="84" spans="1:17" x14ac:dyDescent="0.25">
      <c r="A84" t="s">
        <v>276</v>
      </c>
      <c r="B84" t="s">
        <v>277</v>
      </c>
      <c r="C84" t="s">
        <v>41</v>
      </c>
      <c r="D84">
        <v>45.116390000000003</v>
      </c>
      <c r="E84">
        <v>-112.74972</v>
      </c>
      <c r="K84">
        <v>0</v>
      </c>
      <c r="O84" t="s">
        <v>51</v>
      </c>
      <c r="Q84" t="s">
        <v>21</v>
      </c>
    </row>
    <row r="85" spans="1:17" x14ac:dyDescent="0.25">
      <c r="A85" t="s">
        <v>238</v>
      </c>
      <c r="B85" t="s">
        <v>239</v>
      </c>
      <c r="C85" t="s">
        <v>41</v>
      </c>
      <c r="D85">
        <v>46.218060000000001</v>
      </c>
      <c r="E85">
        <v>-112.655</v>
      </c>
      <c r="K85">
        <v>0</v>
      </c>
      <c r="O85" t="s">
        <v>51</v>
      </c>
      <c r="Q85" t="s">
        <v>21</v>
      </c>
    </row>
    <row r="86" spans="1:17" x14ac:dyDescent="0.25">
      <c r="A86" t="s">
        <v>160</v>
      </c>
      <c r="B86" t="s">
        <v>161</v>
      </c>
      <c r="C86" t="s">
        <v>41</v>
      </c>
      <c r="D86">
        <v>45.473610000000001</v>
      </c>
      <c r="E86">
        <v>-112.36305</v>
      </c>
      <c r="K86">
        <v>0</v>
      </c>
      <c r="O86" t="s">
        <v>51</v>
      </c>
      <c r="Q86" t="s">
        <v>21</v>
      </c>
    </row>
    <row r="87" spans="1:17" x14ac:dyDescent="0.25">
      <c r="A87" t="s">
        <v>248</v>
      </c>
      <c r="B87" t="s">
        <v>249</v>
      </c>
      <c r="C87" t="s">
        <v>41</v>
      </c>
      <c r="D87">
        <v>45.546939999999999</v>
      </c>
      <c r="E87">
        <v>-112.33723000000001</v>
      </c>
      <c r="K87">
        <v>0</v>
      </c>
      <c r="O87" t="s">
        <v>51</v>
      </c>
      <c r="Q87" t="s">
        <v>21</v>
      </c>
    </row>
    <row r="88" spans="1:17" x14ac:dyDescent="0.25">
      <c r="A88" t="s">
        <v>278</v>
      </c>
      <c r="B88" t="s">
        <v>279</v>
      </c>
      <c r="C88" t="s">
        <v>41</v>
      </c>
      <c r="D88">
        <v>45.383609999999997</v>
      </c>
      <c r="E88">
        <v>-112.45193999999999</v>
      </c>
      <c r="K88">
        <v>0</v>
      </c>
      <c r="O88" t="s">
        <v>51</v>
      </c>
      <c r="Q88" t="s">
        <v>21</v>
      </c>
    </row>
    <row r="89" spans="1:17" x14ac:dyDescent="0.25">
      <c r="A89" t="s">
        <v>152</v>
      </c>
      <c r="B89" t="s">
        <v>153</v>
      </c>
      <c r="C89" t="s">
        <v>29</v>
      </c>
      <c r="D89">
        <v>44.701390000000004</v>
      </c>
      <c r="E89">
        <v>-103.73333</v>
      </c>
      <c r="K89">
        <v>0</v>
      </c>
      <c r="O89" t="s">
        <v>34</v>
      </c>
      <c r="Q89" t="s">
        <v>21</v>
      </c>
    </row>
    <row r="90" spans="1:17" x14ac:dyDescent="0.25">
      <c r="A90" t="s">
        <v>154</v>
      </c>
      <c r="B90" t="s">
        <v>155</v>
      </c>
      <c r="C90" t="s">
        <v>29</v>
      </c>
      <c r="D90">
        <v>44.736669999999997</v>
      </c>
      <c r="E90">
        <v>-103.67416</v>
      </c>
      <c r="K90">
        <v>0</v>
      </c>
      <c r="O90" t="s">
        <v>30</v>
      </c>
      <c r="P90" t="s">
        <v>31</v>
      </c>
      <c r="Q90" t="s">
        <v>21</v>
      </c>
    </row>
    <row r="91" spans="1:17" x14ac:dyDescent="0.25">
      <c r="A91" t="s">
        <v>158</v>
      </c>
      <c r="B91" t="s">
        <v>159</v>
      </c>
      <c r="C91" t="s">
        <v>37</v>
      </c>
      <c r="D91">
        <v>44.749720000000003</v>
      </c>
      <c r="E91">
        <v>-104.04694000000001</v>
      </c>
      <c r="K91">
        <v>0</v>
      </c>
      <c r="O91" t="s">
        <v>51</v>
      </c>
      <c r="Q91" t="s">
        <v>21</v>
      </c>
    </row>
    <row r="92" spans="1:17" x14ac:dyDescent="0.25">
      <c r="A92" t="s">
        <v>232</v>
      </c>
      <c r="B92" t="s">
        <v>233</v>
      </c>
      <c r="C92" t="s">
        <v>41</v>
      </c>
      <c r="D92">
        <v>48.997219999999999</v>
      </c>
      <c r="E92">
        <v>-113.68055</v>
      </c>
      <c r="K92">
        <v>0</v>
      </c>
      <c r="O92" t="s">
        <v>51</v>
      </c>
      <c r="Q92" t="s">
        <v>21</v>
      </c>
    </row>
    <row r="93" spans="1:17" x14ac:dyDescent="0.25">
      <c r="A93" t="s">
        <v>2333</v>
      </c>
      <c r="B93" t="s">
        <v>2334</v>
      </c>
      <c r="C93" t="s">
        <v>1622</v>
      </c>
      <c r="D93">
        <v>41.366700000000002</v>
      </c>
      <c r="E93">
        <v>-111.95</v>
      </c>
      <c r="F93">
        <v>8000</v>
      </c>
      <c r="G93" t="s">
        <v>1576</v>
      </c>
      <c r="K93">
        <v>0</v>
      </c>
      <c r="O93" t="s">
        <v>57</v>
      </c>
      <c r="Q93" t="s">
        <v>2284</v>
      </c>
    </row>
    <row r="94" spans="1:17" x14ac:dyDescent="0.25">
      <c r="A94" t="s">
        <v>2335</v>
      </c>
      <c r="B94" t="s">
        <v>2336</v>
      </c>
      <c r="C94" t="s">
        <v>1622</v>
      </c>
      <c r="D94">
        <v>41.383299999999998</v>
      </c>
      <c r="E94">
        <v>-111.91670000000001</v>
      </c>
      <c r="F94">
        <v>6000</v>
      </c>
      <c r="G94" t="s">
        <v>1576</v>
      </c>
      <c r="K94">
        <v>0</v>
      </c>
      <c r="O94" t="s">
        <v>57</v>
      </c>
      <c r="Q94" t="s">
        <v>2284</v>
      </c>
    </row>
    <row r="95" spans="1:17" x14ac:dyDescent="0.25">
      <c r="A95" t="s">
        <v>1612</v>
      </c>
      <c r="B95" t="s">
        <v>1613</v>
      </c>
      <c r="C95" t="s">
        <v>1588</v>
      </c>
      <c r="D95">
        <v>44.047499999999999</v>
      </c>
      <c r="E95">
        <v>-121.32026999999999</v>
      </c>
      <c r="F95">
        <v>1103.3800000000001</v>
      </c>
      <c r="G95" t="s">
        <v>1589</v>
      </c>
      <c r="H95" s="1">
        <v>37742</v>
      </c>
      <c r="J95" t="s">
        <v>1577</v>
      </c>
      <c r="K95">
        <v>0</v>
      </c>
      <c r="L95" t="s">
        <v>1578</v>
      </c>
      <c r="O95" t="s">
        <v>151</v>
      </c>
      <c r="P95" t="s">
        <v>1585</v>
      </c>
      <c r="Q95" t="s">
        <v>1580</v>
      </c>
    </row>
    <row r="96" spans="1:17" x14ac:dyDescent="0.25">
      <c r="A96" t="s">
        <v>2337</v>
      </c>
      <c r="B96" t="s">
        <v>2338</v>
      </c>
      <c r="C96" t="s">
        <v>19</v>
      </c>
      <c r="D96">
        <v>39.799999999999997</v>
      </c>
      <c r="E96">
        <v>-105.7833</v>
      </c>
      <c r="F96">
        <v>11300</v>
      </c>
      <c r="G96" t="s">
        <v>1576</v>
      </c>
      <c r="K96">
        <v>0</v>
      </c>
      <c r="O96" t="s">
        <v>57</v>
      </c>
      <c r="Q96" t="s">
        <v>2284</v>
      </c>
    </row>
    <row r="97" spans="1:17" x14ac:dyDescent="0.25">
      <c r="A97" t="s">
        <v>143</v>
      </c>
      <c r="B97" t="s">
        <v>144</v>
      </c>
      <c r="C97" t="s">
        <v>19</v>
      </c>
      <c r="D97">
        <v>39.799999999999997</v>
      </c>
      <c r="E97">
        <v>-105.76667</v>
      </c>
      <c r="F97">
        <v>11320</v>
      </c>
      <c r="K97">
        <v>0</v>
      </c>
      <c r="O97" t="s">
        <v>57</v>
      </c>
      <c r="Q97" t="s">
        <v>21</v>
      </c>
    </row>
    <row r="98" spans="1:17" x14ac:dyDescent="0.25">
      <c r="A98" t="s">
        <v>1997</v>
      </c>
      <c r="B98" t="s">
        <v>1998</v>
      </c>
      <c r="C98" t="s">
        <v>1604</v>
      </c>
      <c r="D98">
        <v>35.1</v>
      </c>
      <c r="E98">
        <v>-114.6</v>
      </c>
      <c r="G98" t="s">
        <v>1589</v>
      </c>
      <c r="K98">
        <v>0</v>
      </c>
      <c r="O98" t="s">
        <v>20</v>
      </c>
      <c r="Q98" t="s">
        <v>1988</v>
      </c>
    </row>
    <row r="99" spans="1:17" x14ac:dyDescent="0.25">
      <c r="A99" t="s">
        <v>125</v>
      </c>
      <c r="B99" t="s">
        <v>126</v>
      </c>
      <c r="C99" t="s">
        <v>41</v>
      </c>
      <c r="D99">
        <v>47.91695</v>
      </c>
      <c r="E99">
        <v>-112.61861</v>
      </c>
      <c r="K99">
        <v>0</v>
      </c>
      <c r="O99" t="s">
        <v>51</v>
      </c>
      <c r="Q99" t="s">
        <v>21</v>
      </c>
    </row>
    <row r="100" spans="1:17" x14ac:dyDescent="0.25">
      <c r="A100" t="s">
        <v>131</v>
      </c>
      <c r="B100" t="s">
        <v>132</v>
      </c>
      <c r="C100" t="s">
        <v>41</v>
      </c>
      <c r="D100">
        <v>47.517780000000002</v>
      </c>
      <c r="E100">
        <v>-111.89</v>
      </c>
      <c r="K100">
        <v>0</v>
      </c>
      <c r="O100" t="s">
        <v>51</v>
      </c>
      <c r="Q100" t="s">
        <v>21</v>
      </c>
    </row>
    <row r="101" spans="1:17" x14ac:dyDescent="0.25">
      <c r="A101" t="s">
        <v>1452</v>
      </c>
      <c r="B101" t="s">
        <v>1453</v>
      </c>
      <c r="C101" t="s">
        <v>41</v>
      </c>
      <c r="D101">
        <v>47.333329999999997</v>
      </c>
      <c r="E101">
        <v>-106.35</v>
      </c>
      <c r="K101">
        <v>0</v>
      </c>
      <c r="O101" t="s">
        <v>51</v>
      </c>
      <c r="Q101" t="s">
        <v>21</v>
      </c>
    </row>
    <row r="102" spans="1:17" x14ac:dyDescent="0.25">
      <c r="A102" t="s">
        <v>2339</v>
      </c>
      <c r="B102" t="s">
        <v>2340</v>
      </c>
      <c r="C102" t="s">
        <v>1622</v>
      </c>
      <c r="D102">
        <v>38.299999999999997</v>
      </c>
      <c r="E102">
        <v>-112.35</v>
      </c>
      <c r="F102">
        <v>10290</v>
      </c>
      <c r="G102" t="s">
        <v>1576</v>
      </c>
      <c r="K102">
        <v>0</v>
      </c>
      <c r="O102" t="s">
        <v>57</v>
      </c>
      <c r="Q102" t="s">
        <v>2284</v>
      </c>
    </row>
    <row r="103" spans="1:17" x14ac:dyDescent="0.25">
      <c r="A103" t="s">
        <v>156</v>
      </c>
      <c r="B103" t="s">
        <v>157</v>
      </c>
      <c r="C103" t="s">
        <v>41</v>
      </c>
      <c r="D103">
        <v>48.835560000000001</v>
      </c>
      <c r="E103">
        <v>-108.56389</v>
      </c>
      <c r="F103">
        <v>3103</v>
      </c>
      <c r="K103">
        <v>0</v>
      </c>
      <c r="O103" t="s">
        <v>151</v>
      </c>
      <c r="Q103" t="s">
        <v>21</v>
      </c>
    </row>
    <row r="104" spans="1:17" x14ac:dyDescent="0.25">
      <c r="A104" t="s">
        <v>162</v>
      </c>
      <c r="B104" t="s">
        <v>163</v>
      </c>
      <c r="C104" t="s">
        <v>37</v>
      </c>
      <c r="D104">
        <v>44.6</v>
      </c>
      <c r="E104">
        <v>-107.21666999999999</v>
      </c>
      <c r="F104">
        <v>7760</v>
      </c>
      <c r="K104">
        <v>0</v>
      </c>
      <c r="O104" t="s">
        <v>57</v>
      </c>
      <c r="Q104" t="s">
        <v>21</v>
      </c>
    </row>
    <row r="105" spans="1:17" x14ac:dyDescent="0.25">
      <c r="A105" t="s">
        <v>164</v>
      </c>
      <c r="B105" t="s">
        <v>165</v>
      </c>
      <c r="C105" t="s">
        <v>41</v>
      </c>
      <c r="D105">
        <v>46.218060000000001</v>
      </c>
      <c r="E105">
        <v>-112.655</v>
      </c>
      <c r="K105">
        <v>0</v>
      </c>
      <c r="O105" t="s">
        <v>51</v>
      </c>
      <c r="Q105" t="s">
        <v>21</v>
      </c>
    </row>
    <row r="106" spans="1:17" x14ac:dyDescent="0.25">
      <c r="A106" t="s">
        <v>1500</v>
      </c>
      <c r="B106" t="s">
        <v>1501</v>
      </c>
      <c r="C106" t="s">
        <v>41</v>
      </c>
      <c r="D106">
        <v>45.618609999999997</v>
      </c>
      <c r="E106">
        <v>-113.45694</v>
      </c>
      <c r="K106">
        <v>0</v>
      </c>
      <c r="O106" t="s">
        <v>51</v>
      </c>
      <c r="Q106" t="s">
        <v>21</v>
      </c>
    </row>
    <row r="107" spans="1:17" x14ac:dyDescent="0.25">
      <c r="A107" t="s">
        <v>180</v>
      </c>
      <c r="B107" t="s">
        <v>181</v>
      </c>
      <c r="C107" t="s">
        <v>41</v>
      </c>
      <c r="D107">
        <v>45.807499999999997</v>
      </c>
      <c r="E107">
        <v>-113.3125</v>
      </c>
      <c r="K107">
        <v>0</v>
      </c>
      <c r="O107" t="s">
        <v>51</v>
      </c>
      <c r="Q107" t="s">
        <v>21</v>
      </c>
    </row>
    <row r="108" spans="1:17" x14ac:dyDescent="0.25">
      <c r="A108" t="s">
        <v>168</v>
      </c>
      <c r="B108" t="s">
        <v>169</v>
      </c>
      <c r="C108" t="s">
        <v>41</v>
      </c>
      <c r="D108">
        <v>45.440559999999998</v>
      </c>
      <c r="E108">
        <v>-112.55556</v>
      </c>
      <c r="K108">
        <v>0</v>
      </c>
      <c r="O108" t="s">
        <v>51</v>
      </c>
      <c r="Q108" t="s">
        <v>21</v>
      </c>
    </row>
    <row r="109" spans="1:17" x14ac:dyDescent="0.25">
      <c r="A109" t="s">
        <v>918</v>
      </c>
      <c r="B109" t="s">
        <v>919</v>
      </c>
      <c r="C109" t="s">
        <v>41</v>
      </c>
      <c r="D109">
        <v>45.52666</v>
      </c>
      <c r="E109">
        <v>-112.70083</v>
      </c>
      <c r="K109">
        <v>0</v>
      </c>
      <c r="O109" t="s">
        <v>51</v>
      </c>
      <c r="Q109" t="s">
        <v>21</v>
      </c>
    </row>
    <row r="110" spans="1:17" x14ac:dyDescent="0.25">
      <c r="A110" t="s">
        <v>182</v>
      </c>
      <c r="B110" t="s">
        <v>183</v>
      </c>
      <c r="C110" t="s">
        <v>37</v>
      </c>
      <c r="D110">
        <v>43.945279999999997</v>
      </c>
      <c r="E110">
        <v>-108.01694000000001</v>
      </c>
      <c r="K110">
        <v>0</v>
      </c>
      <c r="O110" t="s">
        <v>34</v>
      </c>
      <c r="Q110" t="s">
        <v>21</v>
      </c>
    </row>
    <row r="111" spans="1:17" x14ac:dyDescent="0.25">
      <c r="A111" t="s">
        <v>252</v>
      </c>
      <c r="B111" t="s">
        <v>253</v>
      </c>
      <c r="C111" t="s">
        <v>41</v>
      </c>
      <c r="D111">
        <v>48.55639</v>
      </c>
      <c r="E111">
        <v>-109.80806</v>
      </c>
      <c r="K111">
        <v>0</v>
      </c>
      <c r="O111" t="s">
        <v>51</v>
      </c>
      <c r="Q111" t="s">
        <v>21</v>
      </c>
    </row>
    <row r="112" spans="1:17" x14ac:dyDescent="0.25">
      <c r="A112" t="s">
        <v>2343</v>
      </c>
      <c r="B112" t="s">
        <v>2344</v>
      </c>
      <c r="C112" t="s">
        <v>37</v>
      </c>
      <c r="D112">
        <v>42.65</v>
      </c>
      <c r="E112">
        <v>-109.2667</v>
      </c>
      <c r="F112">
        <v>9080</v>
      </c>
      <c r="G112" t="s">
        <v>1576</v>
      </c>
      <c r="K112">
        <v>0</v>
      </c>
      <c r="O112" t="s">
        <v>57</v>
      </c>
      <c r="Q112" t="s">
        <v>2284</v>
      </c>
    </row>
    <row r="113" spans="1:17" x14ac:dyDescent="0.25">
      <c r="A113" t="s">
        <v>184</v>
      </c>
      <c r="B113" t="s">
        <v>185</v>
      </c>
      <c r="C113" t="s">
        <v>37</v>
      </c>
      <c r="D113">
        <v>42.633339999999997</v>
      </c>
      <c r="E113">
        <v>-109.26667</v>
      </c>
      <c r="F113">
        <v>9100</v>
      </c>
      <c r="K113">
        <v>0</v>
      </c>
      <c r="O113" t="s">
        <v>57</v>
      </c>
      <c r="Q113" t="s">
        <v>21</v>
      </c>
    </row>
    <row r="114" spans="1:17" x14ac:dyDescent="0.25">
      <c r="A114" t="s">
        <v>2341</v>
      </c>
      <c r="B114" t="s">
        <v>2342</v>
      </c>
      <c r="C114" t="s">
        <v>37</v>
      </c>
      <c r="D114">
        <v>42.145699999999998</v>
      </c>
      <c r="E114">
        <v>-109.2543</v>
      </c>
      <c r="F114">
        <v>6757.5</v>
      </c>
      <c r="G114" t="s">
        <v>1576</v>
      </c>
      <c r="K114">
        <v>0</v>
      </c>
      <c r="O114" t="s">
        <v>30</v>
      </c>
      <c r="Q114" t="s">
        <v>2284</v>
      </c>
    </row>
    <row r="115" spans="1:17" x14ac:dyDescent="0.25">
      <c r="A115" t="s">
        <v>2345</v>
      </c>
      <c r="B115" t="s">
        <v>2346</v>
      </c>
      <c r="C115" t="s">
        <v>37</v>
      </c>
      <c r="D115">
        <v>42.316899999999997</v>
      </c>
      <c r="E115">
        <v>-109.485</v>
      </c>
      <c r="F115">
        <v>6770</v>
      </c>
      <c r="G115" t="s">
        <v>1576</v>
      </c>
      <c r="K115">
        <v>0</v>
      </c>
      <c r="O115" t="s">
        <v>51</v>
      </c>
      <c r="Q115" t="s">
        <v>2284</v>
      </c>
    </row>
    <row r="116" spans="1:17" x14ac:dyDescent="0.25">
      <c r="A116" t="s">
        <v>256</v>
      </c>
      <c r="B116" t="s">
        <v>257</v>
      </c>
      <c r="C116" t="s">
        <v>19</v>
      </c>
      <c r="D116">
        <v>40.378329999999998</v>
      </c>
      <c r="E116">
        <v>-106.48638</v>
      </c>
      <c r="K116">
        <v>0</v>
      </c>
      <c r="O116" t="s">
        <v>51</v>
      </c>
      <c r="Q116" t="s">
        <v>21</v>
      </c>
    </row>
    <row r="117" spans="1:17" x14ac:dyDescent="0.25">
      <c r="A117" t="s">
        <v>260</v>
      </c>
      <c r="B117" t="s">
        <v>261</v>
      </c>
      <c r="C117" t="s">
        <v>19</v>
      </c>
      <c r="D117">
        <v>40.421669999999999</v>
      </c>
      <c r="E117">
        <v>-105.22611000000001</v>
      </c>
      <c r="K117">
        <v>0</v>
      </c>
      <c r="O117" t="s">
        <v>51</v>
      </c>
      <c r="Q117" t="s">
        <v>21</v>
      </c>
    </row>
    <row r="118" spans="1:17" x14ac:dyDescent="0.25">
      <c r="A118" t="s">
        <v>262</v>
      </c>
      <c r="B118" t="s">
        <v>263</v>
      </c>
      <c r="C118" t="s">
        <v>19</v>
      </c>
      <c r="D118">
        <v>40.421669999999999</v>
      </c>
      <c r="E118">
        <v>-105.22611000000001</v>
      </c>
      <c r="K118">
        <v>0</v>
      </c>
      <c r="O118" t="s">
        <v>51</v>
      </c>
      <c r="Q118" t="s">
        <v>21</v>
      </c>
    </row>
    <row r="119" spans="1:17" x14ac:dyDescent="0.25">
      <c r="A119" t="s">
        <v>258</v>
      </c>
      <c r="B119" t="s">
        <v>259</v>
      </c>
      <c r="C119" t="s">
        <v>19</v>
      </c>
      <c r="D119">
        <v>40.376390000000001</v>
      </c>
      <c r="E119">
        <v>-105.48583000000001</v>
      </c>
      <c r="K119">
        <v>0</v>
      </c>
      <c r="O119" t="s">
        <v>51</v>
      </c>
      <c r="Q119" t="s">
        <v>21</v>
      </c>
    </row>
    <row r="120" spans="1:17" x14ac:dyDescent="0.25">
      <c r="A120" t="s">
        <v>186</v>
      </c>
      <c r="B120" t="s">
        <v>187</v>
      </c>
      <c r="C120" t="s">
        <v>19</v>
      </c>
      <c r="D120">
        <v>40.354439999999997</v>
      </c>
      <c r="E120">
        <v>-104.75972</v>
      </c>
      <c r="K120">
        <v>0</v>
      </c>
      <c r="O120" t="s">
        <v>51</v>
      </c>
      <c r="Q120" t="s">
        <v>21</v>
      </c>
    </row>
    <row r="121" spans="1:17" x14ac:dyDescent="0.25">
      <c r="A121" t="s">
        <v>1202</v>
      </c>
      <c r="B121" t="s">
        <v>1203</v>
      </c>
      <c r="C121" t="s">
        <v>41</v>
      </c>
      <c r="D121">
        <v>45.307220000000001</v>
      </c>
      <c r="E121">
        <v>-107.95694</v>
      </c>
      <c r="K121">
        <v>0</v>
      </c>
      <c r="O121" t="s">
        <v>30</v>
      </c>
      <c r="Q121" t="s">
        <v>21</v>
      </c>
    </row>
    <row r="122" spans="1:17" x14ac:dyDescent="0.25">
      <c r="A122" t="s">
        <v>1204</v>
      </c>
      <c r="B122" t="s">
        <v>1203</v>
      </c>
      <c r="C122" t="s">
        <v>41</v>
      </c>
      <c r="D122">
        <v>45.307220000000001</v>
      </c>
      <c r="E122">
        <v>-107.95694</v>
      </c>
      <c r="K122">
        <v>0</v>
      </c>
      <c r="O122" t="s">
        <v>30</v>
      </c>
      <c r="Q122" t="s">
        <v>21</v>
      </c>
    </row>
    <row r="123" spans="1:17" x14ac:dyDescent="0.25">
      <c r="A123" t="s">
        <v>174</v>
      </c>
      <c r="B123" t="s">
        <v>175</v>
      </c>
      <c r="C123" t="s">
        <v>41</v>
      </c>
      <c r="D123">
        <v>45.307220000000001</v>
      </c>
      <c r="E123">
        <v>-107.95694</v>
      </c>
      <c r="K123">
        <v>0</v>
      </c>
      <c r="O123" t="s">
        <v>30</v>
      </c>
      <c r="P123" t="s">
        <v>54</v>
      </c>
      <c r="Q123" t="s">
        <v>21</v>
      </c>
    </row>
    <row r="124" spans="1:17" x14ac:dyDescent="0.25">
      <c r="A124" t="s">
        <v>170</v>
      </c>
      <c r="B124" t="s">
        <v>171</v>
      </c>
      <c r="C124" t="s">
        <v>41</v>
      </c>
      <c r="D124">
        <v>46.124720000000003</v>
      </c>
      <c r="E124">
        <v>-107.46832999999999</v>
      </c>
      <c r="K124">
        <v>0</v>
      </c>
      <c r="O124" t="s">
        <v>51</v>
      </c>
      <c r="Q124" t="s">
        <v>21</v>
      </c>
    </row>
    <row r="125" spans="1:17" x14ac:dyDescent="0.25">
      <c r="A125" t="s">
        <v>178</v>
      </c>
      <c r="B125" t="s">
        <v>179</v>
      </c>
      <c r="C125" t="s">
        <v>41</v>
      </c>
      <c r="D125">
        <v>45.316670000000002</v>
      </c>
      <c r="E125">
        <v>-107.91804999999999</v>
      </c>
      <c r="K125">
        <v>0</v>
      </c>
      <c r="O125" t="s">
        <v>30</v>
      </c>
      <c r="Q125" t="s">
        <v>21</v>
      </c>
    </row>
    <row r="126" spans="1:17" x14ac:dyDescent="0.25">
      <c r="A126" t="s">
        <v>119</v>
      </c>
      <c r="B126" t="s">
        <v>120</v>
      </c>
      <c r="C126" t="s">
        <v>37</v>
      </c>
      <c r="D126">
        <v>44.383339999999997</v>
      </c>
      <c r="E126">
        <v>-108.03555</v>
      </c>
      <c r="K126">
        <v>0</v>
      </c>
      <c r="O126" t="s">
        <v>51</v>
      </c>
      <c r="Q126" t="s">
        <v>21</v>
      </c>
    </row>
    <row r="127" spans="1:17" x14ac:dyDescent="0.25">
      <c r="A127" t="s">
        <v>759</v>
      </c>
      <c r="B127" t="s">
        <v>760</v>
      </c>
      <c r="C127" t="s">
        <v>37</v>
      </c>
      <c r="D127">
        <v>44.843609999999998</v>
      </c>
      <c r="E127">
        <v>-108.20222</v>
      </c>
      <c r="K127">
        <v>0</v>
      </c>
      <c r="O127" t="s">
        <v>51</v>
      </c>
      <c r="Q127" t="s">
        <v>21</v>
      </c>
    </row>
    <row r="128" spans="1:17" x14ac:dyDescent="0.25">
      <c r="A128" t="s">
        <v>166</v>
      </c>
      <c r="B128" t="s">
        <v>167</v>
      </c>
      <c r="C128" t="s">
        <v>37</v>
      </c>
      <c r="D128">
        <v>43.935560000000002</v>
      </c>
      <c r="E128">
        <v>-108.03749999999999</v>
      </c>
      <c r="K128">
        <v>0</v>
      </c>
      <c r="O128" t="s">
        <v>51</v>
      </c>
      <c r="Q128" t="s">
        <v>21</v>
      </c>
    </row>
    <row r="129" spans="1:17" x14ac:dyDescent="0.25">
      <c r="A129" t="s">
        <v>176</v>
      </c>
      <c r="B129" t="s">
        <v>177</v>
      </c>
      <c r="C129" t="s">
        <v>37</v>
      </c>
      <c r="D129">
        <v>44.014719999999997</v>
      </c>
      <c r="E129">
        <v>-107.96889</v>
      </c>
      <c r="K129">
        <v>0</v>
      </c>
      <c r="O129" t="s">
        <v>51</v>
      </c>
      <c r="Q129" t="s">
        <v>21</v>
      </c>
    </row>
    <row r="130" spans="1:17" x14ac:dyDescent="0.25">
      <c r="A130" t="s">
        <v>1999</v>
      </c>
      <c r="B130" t="s">
        <v>2000</v>
      </c>
      <c r="C130" t="s">
        <v>1987</v>
      </c>
      <c r="D130">
        <v>34.230800000000002</v>
      </c>
      <c r="E130">
        <v>-113.60809999999999</v>
      </c>
      <c r="F130">
        <v>507</v>
      </c>
      <c r="G130" t="s">
        <v>1576</v>
      </c>
      <c r="K130">
        <v>0</v>
      </c>
      <c r="O130" t="s">
        <v>51</v>
      </c>
      <c r="Q130" t="s">
        <v>1988</v>
      </c>
    </row>
    <row r="131" spans="1:17" x14ac:dyDescent="0.25">
      <c r="A131" t="s">
        <v>2347</v>
      </c>
      <c r="B131" t="s">
        <v>2348</v>
      </c>
      <c r="C131" t="s">
        <v>19</v>
      </c>
      <c r="D131">
        <v>39.7667</v>
      </c>
      <c r="E131">
        <v>-107.35</v>
      </c>
      <c r="F131">
        <v>10880</v>
      </c>
      <c r="G131" t="s">
        <v>1576</v>
      </c>
      <c r="K131">
        <v>0</v>
      </c>
      <c r="O131" t="s">
        <v>57</v>
      </c>
      <c r="Q131" t="s">
        <v>2284</v>
      </c>
    </row>
    <row r="132" spans="1:17" x14ac:dyDescent="0.25">
      <c r="A132" t="s">
        <v>192</v>
      </c>
      <c r="B132" t="s">
        <v>193</v>
      </c>
      <c r="C132" t="s">
        <v>41</v>
      </c>
      <c r="D132">
        <v>44.5</v>
      </c>
      <c r="E132">
        <v>-111.11667</v>
      </c>
      <c r="F132">
        <v>7950</v>
      </c>
      <c r="K132">
        <v>0</v>
      </c>
      <c r="O132" t="s">
        <v>57</v>
      </c>
      <c r="Q132" t="s">
        <v>21</v>
      </c>
    </row>
    <row r="133" spans="1:17" x14ac:dyDescent="0.25">
      <c r="A133" t="s">
        <v>2349</v>
      </c>
      <c r="B133" t="s">
        <v>2350</v>
      </c>
      <c r="C133" t="s">
        <v>1622</v>
      </c>
      <c r="D133">
        <v>38.683300000000003</v>
      </c>
      <c r="E133">
        <v>-111.58329999999999</v>
      </c>
      <c r="F133">
        <v>9400</v>
      </c>
      <c r="G133" t="s">
        <v>1576</v>
      </c>
      <c r="K133">
        <v>0</v>
      </c>
      <c r="O133" t="s">
        <v>57</v>
      </c>
      <c r="Q133" t="s">
        <v>2284</v>
      </c>
    </row>
    <row r="134" spans="1:17" x14ac:dyDescent="0.25">
      <c r="A134" t="s">
        <v>2351</v>
      </c>
      <c r="B134" t="s">
        <v>2352</v>
      </c>
      <c r="C134" t="s">
        <v>2283</v>
      </c>
      <c r="D134">
        <v>32.240900000000003</v>
      </c>
      <c r="E134">
        <v>-104.0647</v>
      </c>
      <c r="G134" t="s">
        <v>1576</v>
      </c>
      <c r="K134">
        <v>0</v>
      </c>
      <c r="O134" t="s">
        <v>51</v>
      </c>
      <c r="Q134" t="s">
        <v>2284</v>
      </c>
    </row>
    <row r="135" spans="1:17" x14ac:dyDescent="0.25">
      <c r="A135" t="s">
        <v>2355</v>
      </c>
      <c r="B135" t="s">
        <v>2356</v>
      </c>
      <c r="C135" t="s">
        <v>2283</v>
      </c>
      <c r="D135">
        <v>35.761099999999999</v>
      </c>
      <c r="E135">
        <v>-108.8167</v>
      </c>
      <c r="F135">
        <v>6280</v>
      </c>
      <c r="G135" t="s">
        <v>1576</v>
      </c>
      <c r="K135">
        <v>0</v>
      </c>
      <c r="O135" t="s">
        <v>51</v>
      </c>
      <c r="Q135" t="s">
        <v>2284</v>
      </c>
    </row>
    <row r="136" spans="1:17" x14ac:dyDescent="0.25">
      <c r="A136" t="s">
        <v>149</v>
      </c>
      <c r="B136" t="s">
        <v>150</v>
      </c>
      <c r="C136" t="s">
        <v>41</v>
      </c>
      <c r="D136">
        <v>48.674999999999997</v>
      </c>
      <c r="E136">
        <v>-112.58889000000001</v>
      </c>
      <c r="F136">
        <v>3905</v>
      </c>
      <c r="K136">
        <v>0</v>
      </c>
      <c r="O136" t="s">
        <v>151</v>
      </c>
      <c r="Q136" t="s">
        <v>21</v>
      </c>
    </row>
    <row r="137" spans="1:17" x14ac:dyDescent="0.25">
      <c r="A137" t="s">
        <v>172</v>
      </c>
      <c r="B137" t="s">
        <v>173</v>
      </c>
      <c r="C137" t="s">
        <v>37</v>
      </c>
      <c r="D137">
        <v>41.000830000000001</v>
      </c>
      <c r="E137">
        <v>-106.0675</v>
      </c>
      <c r="F137">
        <v>9820</v>
      </c>
      <c r="K137">
        <v>0</v>
      </c>
      <c r="O137" t="s">
        <v>57</v>
      </c>
      <c r="Q137" t="s">
        <v>21</v>
      </c>
    </row>
    <row r="138" spans="1:17" x14ac:dyDescent="0.25">
      <c r="A138" t="s">
        <v>2353</v>
      </c>
      <c r="B138" t="s">
        <v>2354</v>
      </c>
      <c r="C138" t="s">
        <v>37</v>
      </c>
      <c r="D138">
        <v>41.546100000000003</v>
      </c>
      <c r="E138">
        <v>-104.69280000000001</v>
      </c>
      <c r="G138" t="s">
        <v>1576</v>
      </c>
      <c r="K138">
        <v>0</v>
      </c>
      <c r="O138" t="s">
        <v>51</v>
      </c>
      <c r="Q138" t="s">
        <v>2284</v>
      </c>
    </row>
    <row r="139" spans="1:17" x14ac:dyDescent="0.25">
      <c r="A139" t="s">
        <v>266</v>
      </c>
      <c r="B139" t="s">
        <v>267</v>
      </c>
      <c r="C139" t="s">
        <v>41</v>
      </c>
      <c r="D139">
        <v>45.046390000000002</v>
      </c>
      <c r="E139">
        <v>-112.54806000000001</v>
      </c>
      <c r="K139">
        <v>0</v>
      </c>
      <c r="O139" t="s">
        <v>51</v>
      </c>
      <c r="Q139" t="s">
        <v>21</v>
      </c>
    </row>
    <row r="140" spans="1:17" x14ac:dyDescent="0.25">
      <c r="A140" t="s">
        <v>212</v>
      </c>
      <c r="B140" t="s">
        <v>213</v>
      </c>
      <c r="C140" t="s">
        <v>37</v>
      </c>
      <c r="D140">
        <v>44.383339999999997</v>
      </c>
      <c r="E140">
        <v>-109.8</v>
      </c>
      <c r="F140">
        <v>9780</v>
      </c>
      <c r="K140">
        <v>0</v>
      </c>
      <c r="O140" t="s">
        <v>57</v>
      </c>
      <c r="Q140" t="s">
        <v>21</v>
      </c>
    </row>
    <row r="141" spans="1:17" x14ac:dyDescent="0.25">
      <c r="A141" t="s">
        <v>280</v>
      </c>
      <c r="B141" t="s">
        <v>281</v>
      </c>
      <c r="C141" t="s">
        <v>26</v>
      </c>
      <c r="D141">
        <v>40.305549999999997</v>
      </c>
      <c r="E141">
        <v>-100.85611</v>
      </c>
      <c r="K141">
        <v>0</v>
      </c>
      <c r="O141" t="s">
        <v>34</v>
      </c>
      <c r="Q141" t="s">
        <v>21</v>
      </c>
    </row>
    <row r="142" spans="1:17" x14ac:dyDescent="0.25">
      <c r="A142" t="s">
        <v>2357</v>
      </c>
      <c r="B142" t="s">
        <v>2358</v>
      </c>
      <c r="C142" t="s">
        <v>19</v>
      </c>
      <c r="D142">
        <v>37.203600000000002</v>
      </c>
      <c r="E142">
        <v>-106.80970000000001</v>
      </c>
      <c r="G142" t="s">
        <v>1576</v>
      </c>
      <c r="K142">
        <v>0</v>
      </c>
      <c r="O142" t="s">
        <v>20</v>
      </c>
      <c r="Q142" t="s">
        <v>2284</v>
      </c>
    </row>
    <row r="143" spans="1:17" x14ac:dyDescent="0.25">
      <c r="A143" t="s">
        <v>2359</v>
      </c>
      <c r="B143" t="s">
        <v>2360</v>
      </c>
      <c r="C143" t="s">
        <v>37</v>
      </c>
      <c r="D143">
        <v>42.95</v>
      </c>
      <c r="E143">
        <v>-110.6</v>
      </c>
      <c r="F143">
        <v>8900</v>
      </c>
      <c r="G143" t="s">
        <v>1576</v>
      </c>
      <c r="K143">
        <v>0</v>
      </c>
      <c r="O143" t="s">
        <v>57</v>
      </c>
      <c r="Q143" t="s">
        <v>2284</v>
      </c>
    </row>
    <row r="144" spans="1:17" x14ac:dyDescent="0.25">
      <c r="A144" t="s">
        <v>202</v>
      </c>
      <c r="B144" t="s">
        <v>203</v>
      </c>
      <c r="C144" t="s">
        <v>41</v>
      </c>
      <c r="D144">
        <v>45.166670000000003</v>
      </c>
      <c r="E144">
        <v>-113.5</v>
      </c>
      <c r="F144">
        <v>7550</v>
      </c>
      <c r="K144">
        <v>0</v>
      </c>
      <c r="O144" t="s">
        <v>57</v>
      </c>
      <c r="Q144" t="s">
        <v>21</v>
      </c>
    </row>
    <row r="145" spans="1:17" x14ac:dyDescent="0.25">
      <c r="A145" t="s">
        <v>2361</v>
      </c>
      <c r="B145" t="s">
        <v>2362</v>
      </c>
      <c r="C145" t="s">
        <v>19</v>
      </c>
      <c r="D145">
        <v>38.2714</v>
      </c>
      <c r="E145">
        <v>-107.205</v>
      </c>
      <c r="F145">
        <v>7519.4</v>
      </c>
      <c r="G145" t="s">
        <v>1576</v>
      </c>
      <c r="K145">
        <v>0</v>
      </c>
      <c r="O145" t="s">
        <v>30</v>
      </c>
      <c r="Q145" t="s">
        <v>2284</v>
      </c>
    </row>
    <row r="146" spans="1:17" x14ac:dyDescent="0.25">
      <c r="A146" t="s">
        <v>208</v>
      </c>
      <c r="B146" t="s">
        <v>209</v>
      </c>
      <c r="C146" t="s">
        <v>19</v>
      </c>
      <c r="D146">
        <v>39.625549999999997</v>
      </c>
      <c r="E146">
        <v>-106.06583000000001</v>
      </c>
      <c r="K146">
        <v>0</v>
      </c>
      <c r="O146" t="s">
        <v>51</v>
      </c>
      <c r="Q146" t="s">
        <v>21</v>
      </c>
    </row>
    <row r="147" spans="1:17" x14ac:dyDescent="0.25">
      <c r="A147" t="s">
        <v>210</v>
      </c>
      <c r="B147" t="s">
        <v>211</v>
      </c>
      <c r="C147" t="s">
        <v>19</v>
      </c>
      <c r="D147">
        <v>39.880279999999999</v>
      </c>
      <c r="E147">
        <v>-106.33334000000001</v>
      </c>
      <c r="K147">
        <v>0</v>
      </c>
      <c r="O147" t="s">
        <v>51</v>
      </c>
      <c r="Q147" t="s">
        <v>21</v>
      </c>
    </row>
    <row r="148" spans="1:17" x14ac:dyDescent="0.25">
      <c r="A148" t="s">
        <v>133</v>
      </c>
      <c r="B148" t="s">
        <v>134</v>
      </c>
      <c r="C148" t="s">
        <v>37</v>
      </c>
      <c r="D148">
        <v>43.872779999999999</v>
      </c>
      <c r="E148">
        <v>-108.13445</v>
      </c>
      <c r="K148">
        <v>0</v>
      </c>
      <c r="O148" t="s">
        <v>34</v>
      </c>
      <c r="Q148" t="s">
        <v>21</v>
      </c>
    </row>
    <row r="149" spans="1:17" x14ac:dyDescent="0.25">
      <c r="A149" t="s">
        <v>1614</v>
      </c>
      <c r="B149" t="s">
        <v>1615</v>
      </c>
      <c r="C149" t="s">
        <v>410</v>
      </c>
      <c r="D149">
        <v>43.653030000000001</v>
      </c>
      <c r="E149">
        <v>-116.27417</v>
      </c>
      <c r="F149">
        <v>800</v>
      </c>
      <c r="G149" t="s">
        <v>1576</v>
      </c>
      <c r="H149" s="1">
        <v>41501</v>
      </c>
      <c r="J149" t="s">
        <v>1577</v>
      </c>
      <c r="K149">
        <v>0</v>
      </c>
      <c r="L149" t="s">
        <v>1578</v>
      </c>
      <c r="O149" t="s">
        <v>151</v>
      </c>
      <c r="P149" t="s">
        <v>1585</v>
      </c>
      <c r="Q149" t="s">
        <v>1580</v>
      </c>
    </row>
    <row r="150" spans="1:17" x14ac:dyDescent="0.25">
      <c r="A150" t="s">
        <v>1629</v>
      </c>
      <c r="B150" t="s">
        <v>1630</v>
      </c>
      <c r="C150" t="s">
        <v>410</v>
      </c>
      <c r="D150">
        <v>43.600270000000002</v>
      </c>
      <c r="E150">
        <v>-116.17694</v>
      </c>
      <c r="F150">
        <v>829.06</v>
      </c>
      <c r="G150" t="s">
        <v>1576</v>
      </c>
      <c r="H150" s="1">
        <v>34906</v>
      </c>
      <c r="J150" t="s">
        <v>1577</v>
      </c>
      <c r="K150">
        <v>0</v>
      </c>
      <c r="L150" t="s">
        <v>1578</v>
      </c>
      <c r="O150" t="s">
        <v>151</v>
      </c>
      <c r="P150" t="s">
        <v>1585</v>
      </c>
      <c r="Q150" t="s">
        <v>1580</v>
      </c>
    </row>
    <row r="151" spans="1:17" x14ac:dyDescent="0.25">
      <c r="A151" t="s">
        <v>254</v>
      </c>
      <c r="B151" t="s">
        <v>255</v>
      </c>
      <c r="C151" t="s">
        <v>37</v>
      </c>
      <c r="D151">
        <v>44.683329999999998</v>
      </c>
      <c r="E151">
        <v>-107.58334000000001</v>
      </c>
      <c r="F151">
        <v>9350</v>
      </c>
      <c r="K151">
        <v>0</v>
      </c>
      <c r="O151" t="s">
        <v>57</v>
      </c>
      <c r="Q151" t="s">
        <v>21</v>
      </c>
    </row>
    <row r="152" spans="1:17" x14ac:dyDescent="0.25">
      <c r="A152" t="s">
        <v>1626</v>
      </c>
      <c r="B152" t="s">
        <v>1627</v>
      </c>
      <c r="C152" t="s">
        <v>1628</v>
      </c>
      <c r="D152">
        <v>45.647770000000001</v>
      </c>
      <c r="E152">
        <v>-121.93111</v>
      </c>
      <c r="F152">
        <v>24.38</v>
      </c>
      <c r="G152" t="s">
        <v>1589</v>
      </c>
      <c r="H152" s="1">
        <v>37359</v>
      </c>
      <c r="J152" t="s">
        <v>1577</v>
      </c>
      <c r="K152">
        <v>0</v>
      </c>
      <c r="L152" t="s">
        <v>1578</v>
      </c>
      <c r="O152" t="s">
        <v>151</v>
      </c>
      <c r="P152" t="s">
        <v>1585</v>
      </c>
      <c r="Q152" t="s">
        <v>1580</v>
      </c>
    </row>
    <row r="153" spans="1:17" x14ac:dyDescent="0.25">
      <c r="A153" t="s">
        <v>220</v>
      </c>
      <c r="B153" t="s">
        <v>221</v>
      </c>
      <c r="C153" t="s">
        <v>19</v>
      </c>
      <c r="D153">
        <v>39.623330000000003</v>
      </c>
      <c r="E153">
        <v>-102.17333000000001</v>
      </c>
      <c r="K153">
        <v>0</v>
      </c>
      <c r="O153" t="s">
        <v>30</v>
      </c>
      <c r="P153" t="s">
        <v>107</v>
      </c>
      <c r="Q153" t="s">
        <v>21</v>
      </c>
    </row>
    <row r="154" spans="1:17" x14ac:dyDescent="0.25">
      <c r="A154" t="s">
        <v>2007</v>
      </c>
      <c r="B154" t="s">
        <v>2008</v>
      </c>
      <c r="C154" t="s">
        <v>1604</v>
      </c>
      <c r="D154">
        <v>36.01</v>
      </c>
      <c r="E154">
        <v>-114.73</v>
      </c>
      <c r="G154" t="s">
        <v>1589</v>
      </c>
      <c r="K154">
        <v>0</v>
      </c>
      <c r="O154" t="s">
        <v>20</v>
      </c>
      <c r="Q154" t="s">
        <v>1988</v>
      </c>
    </row>
    <row r="155" spans="1:17" x14ac:dyDescent="0.25">
      <c r="A155" t="s">
        <v>216</v>
      </c>
      <c r="B155" t="s">
        <v>217</v>
      </c>
      <c r="C155" t="s">
        <v>41</v>
      </c>
      <c r="D155">
        <v>46.566670000000002</v>
      </c>
      <c r="E155">
        <v>-111.3</v>
      </c>
      <c r="F155">
        <v>7950</v>
      </c>
      <c r="K155">
        <v>0</v>
      </c>
      <c r="O155" t="s">
        <v>57</v>
      </c>
      <c r="Q155" t="s">
        <v>21</v>
      </c>
    </row>
    <row r="156" spans="1:17" x14ac:dyDescent="0.25">
      <c r="A156" t="s">
        <v>114</v>
      </c>
      <c r="B156" t="s">
        <v>115</v>
      </c>
      <c r="C156" t="s">
        <v>41</v>
      </c>
      <c r="D156">
        <v>45.834159999999997</v>
      </c>
      <c r="E156">
        <v>-109.93805999999999</v>
      </c>
      <c r="K156">
        <v>0</v>
      </c>
      <c r="O156" t="s">
        <v>51</v>
      </c>
      <c r="Q156" t="s">
        <v>21</v>
      </c>
    </row>
    <row r="157" spans="1:17" x14ac:dyDescent="0.25">
      <c r="A157" t="s">
        <v>196</v>
      </c>
      <c r="B157" t="s">
        <v>197</v>
      </c>
      <c r="C157" t="s">
        <v>41</v>
      </c>
      <c r="D157">
        <v>46.211109999999998</v>
      </c>
      <c r="E157">
        <v>-112.09084</v>
      </c>
      <c r="K157">
        <v>0</v>
      </c>
      <c r="O157" t="s">
        <v>51</v>
      </c>
      <c r="Q157" t="s">
        <v>21</v>
      </c>
    </row>
    <row r="158" spans="1:17" x14ac:dyDescent="0.25">
      <c r="A158" t="s">
        <v>105</v>
      </c>
      <c r="B158" t="s">
        <v>106</v>
      </c>
      <c r="C158" t="s">
        <v>26</v>
      </c>
      <c r="D158">
        <v>42.45834</v>
      </c>
      <c r="E158">
        <v>-103.06667</v>
      </c>
      <c r="K158">
        <v>0</v>
      </c>
      <c r="O158" t="s">
        <v>30</v>
      </c>
      <c r="P158" t="s">
        <v>107</v>
      </c>
      <c r="Q158" t="s">
        <v>21</v>
      </c>
    </row>
    <row r="159" spans="1:17" x14ac:dyDescent="0.25">
      <c r="A159" t="s">
        <v>224</v>
      </c>
      <c r="B159" t="s">
        <v>225</v>
      </c>
      <c r="C159" t="s">
        <v>41</v>
      </c>
      <c r="D159">
        <v>45.283329999999999</v>
      </c>
      <c r="E159">
        <v>-110.25</v>
      </c>
      <c r="F159">
        <v>6700</v>
      </c>
      <c r="K159">
        <v>0</v>
      </c>
      <c r="O159" t="s">
        <v>57</v>
      </c>
      <c r="Q159" t="s">
        <v>21</v>
      </c>
    </row>
    <row r="160" spans="1:17" x14ac:dyDescent="0.25">
      <c r="A160" t="s">
        <v>2363</v>
      </c>
      <c r="B160" t="s">
        <v>2364</v>
      </c>
      <c r="C160" t="s">
        <v>1622</v>
      </c>
      <c r="D160">
        <v>38.5</v>
      </c>
      <c r="E160">
        <v>-112.0167</v>
      </c>
      <c r="F160">
        <v>9800</v>
      </c>
      <c r="G160" t="s">
        <v>1576</v>
      </c>
      <c r="K160">
        <v>0</v>
      </c>
      <c r="O160" t="s">
        <v>57</v>
      </c>
      <c r="Q160" t="s">
        <v>2284</v>
      </c>
    </row>
    <row r="161" spans="1:17" x14ac:dyDescent="0.25">
      <c r="A161" t="s">
        <v>1198</v>
      </c>
      <c r="B161" t="s">
        <v>1199</v>
      </c>
      <c r="C161" t="s">
        <v>37</v>
      </c>
      <c r="D161">
        <v>43.4</v>
      </c>
      <c r="E161">
        <v>-108.17694</v>
      </c>
      <c r="K161">
        <v>0</v>
      </c>
      <c r="O161" t="s">
        <v>30</v>
      </c>
      <c r="Q161" t="s">
        <v>21</v>
      </c>
    </row>
    <row r="162" spans="1:17" x14ac:dyDescent="0.25">
      <c r="A162" t="s">
        <v>226</v>
      </c>
      <c r="B162" t="s">
        <v>227</v>
      </c>
      <c r="C162" t="s">
        <v>37</v>
      </c>
      <c r="D162">
        <v>43.4</v>
      </c>
      <c r="E162">
        <v>-108.17694</v>
      </c>
      <c r="K162">
        <v>0</v>
      </c>
      <c r="O162" t="s">
        <v>30</v>
      </c>
      <c r="P162" t="s">
        <v>54</v>
      </c>
      <c r="Q162" t="s">
        <v>21</v>
      </c>
    </row>
    <row r="163" spans="1:17" x14ac:dyDescent="0.25">
      <c r="A163" t="s">
        <v>228</v>
      </c>
      <c r="B163" t="s">
        <v>229</v>
      </c>
      <c r="C163" t="s">
        <v>37</v>
      </c>
      <c r="D163">
        <v>43.404170000000001</v>
      </c>
      <c r="E163">
        <v>-108.17333000000001</v>
      </c>
      <c r="F163">
        <v>4710</v>
      </c>
      <c r="K163">
        <v>0</v>
      </c>
      <c r="O163" t="s">
        <v>118</v>
      </c>
      <c r="Q163" t="s">
        <v>21</v>
      </c>
    </row>
    <row r="164" spans="1:17" x14ac:dyDescent="0.25">
      <c r="A164" t="s">
        <v>230</v>
      </c>
      <c r="B164" t="s">
        <v>231</v>
      </c>
      <c r="C164" t="s">
        <v>41</v>
      </c>
      <c r="D164">
        <v>45.673609999999996</v>
      </c>
      <c r="E164">
        <v>-111.15</v>
      </c>
      <c r="F164">
        <v>4775</v>
      </c>
      <c r="K164">
        <v>0</v>
      </c>
      <c r="O164" t="s">
        <v>151</v>
      </c>
      <c r="Q164" t="s">
        <v>21</v>
      </c>
    </row>
    <row r="165" spans="1:17" x14ac:dyDescent="0.25">
      <c r="A165" t="s">
        <v>234</v>
      </c>
      <c r="B165" t="s">
        <v>235</v>
      </c>
      <c r="C165" t="s">
        <v>41</v>
      </c>
      <c r="D165">
        <v>45.883339999999997</v>
      </c>
      <c r="E165">
        <v>-110.93333</v>
      </c>
      <c r="F165">
        <v>7320</v>
      </c>
      <c r="K165">
        <v>0</v>
      </c>
      <c r="O165" t="s">
        <v>57</v>
      </c>
      <c r="Q165" t="s">
        <v>21</v>
      </c>
    </row>
    <row r="166" spans="1:17" x14ac:dyDescent="0.25">
      <c r="A166" t="s">
        <v>2365</v>
      </c>
      <c r="B166" t="s">
        <v>2366</v>
      </c>
      <c r="C166" t="s">
        <v>2283</v>
      </c>
      <c r="D166">
        <v>32.324800000000003</v>
      </c>
      <c r="E166">
        <v>-104.2243</v>
      </c>
      <c r="F166">
        <v>3202.5</v>
      </c>
      <c r="G166" t="s">
        <v>1576</v>
      </c>
      <c r="K166">
        <v>0</v>
      </c>
      <c r="O166" t="s">
        <v>30</v>
      </c>
      <c r="Q166" t="s">
        <v>2284</v>
      </c>
    </row>
    <row r="167" spans="1:17" x14ac:dyDescent="0.25">
      <c r="A167" t="s">
        <v>2367</v>
      </c>
      <c r="B167" t="s">
        <v>2368</v>
      </c>
      <c r="C167" t="s">
        <v>1622</v>
      </c>
      <c r="D167">
        <v>40.6</v>
      </c>
      <c r="E167">
        <v>-111.61669999999999</v>
      </c>
      <c r="F167">
        <v>8750</v>
      </c>
      <c r="G167" t="s">
        <v>1576</v>
      </c>
      <c r="K167">
        <v>0</v>
      </c>
      <c r="O167" t="s">
        <v>57</v>
      </c>
      <c r="Q167" t="s">
        <v>2284</v>
      </c>
    </row>
    <row r="168" spans="1:17" x14ac:dyDescent="0.25">
      <c r="A168" t="s">
        <v>218</v>
      </c>
      <c r="B168" t="s">
        <v>219</v>
      </c>
      <c r="C168" t="s">
        <v>41</v>
      </c>
      <c r="D168">
        <v>47.52055</v>
      </c>
      <c r="E168">
        <v>-112.24694</v>
      </c>
      <c r="F168">
        <v>3890</v>
      </c>
      <c r="K168">
        <v>0</v>
      </c>
      <c r="O168" t="s">
        <v>151</v>
      </c>
      <c r="Q168" t="s">
        <v>21</v>
      </c>
    </row>
    <row r="169" spans="1:17" x14ac:dyDescent="0.25">
      <c r="A169" t="s">
        <v>214</v>
      </c>
      <c r="B169" t="s">
        <v>215</v>
      </c>
      <c r="C169" t="s">
        <v>41</v>
      </c>
      <c r="D169">
        <v>47.52055</v>
      </c>
      <c r="E169">
        <v>-112.24694</v>
      </c>
      <c r="K169">
        <v>0</v>
      </c>
      <c r="O169" t="s">
        <v>34</v>
      </c>
      <c r="Q169" t="s">
        <v>21</v>
      </c>
    </row>
    <row r="170" spans="1:17" x14ac:dyDescent="0.25">
      <c r="A170" t="s">
        <v>2009</v>
      </c>
      <c r="B170" t="s">
        <v>2010</v>
      </c>
      <c r="C170" t="s">
        <v>1987</v>
      </c>
      <c r="D170">
        <v>34.299999999999997</v>
      </c>
      <c r="E170">
        <v>-114.13</v>
      </c>
      <c r="G170" t="s">
        <v>1576</v>
      </c>
      <c r="K170">
        <v>0</v>
      </c>
      <c r="O170" t="s">
        <v>20</v>
      </c>
      <c r="Q170" t="s">
        <v>1988</v>
      </c>
    </row>
    <row r="171" spans="1:17" x14ac:dyDescent="0.25">
      <c r="A171" t="s">
        <v>1633</v>
      </c>
      <c r="B171" t="s">
        <v>1634</v>
      </c>
      <c r="C171" t="s">
        <v>1588</v>
      </c>
      <c r="D171">
        <v>42.03</v>
      </c>
      <c r="E171">
        <v>-124.24083</v>
      </c>
      <c r="F171">
        <v>24.38</v>
      </c>
      <c r="G171" t="s">
        <v>1589</v>
      </c>
      <c r="H171" s="1">
        <v>36430</v>
      </c>
      <c r="J171" t="s">
        <v>1577</v>
      </c>
      <c r="K171">
        <v>0</v>
      </c>
      <c r="L171" t="s">
        <v>1578</v>
      </c>
      <c r="O171" t="s">
        <v>151</v>
      </c>
      <c r="P171" t="s">
        <v>1585</v>
      </c>
      <c r="Q171" t="s">
        <v>1580</v>
      </c>
    </row>
    <row r="172" spans="1:17" x14ac:dyDescent="0.25">
      <c r="A172" t="s">
        <v>246</v>
      </c>
      <c r="B172" t="s">
        <v>247</v>
      </c>
      <c r="C172" t="s">
        <v>37</v>
      </c>
      <c r="D172">
        <v>41.366660000000003</v>
      </c>
      <c r="E172">
        <v>-106.23333</v>
      </c>
      <c r="F172">
        <v>10220</v>
      </c>
      <c r="K172">
        <v>0</v>
      </c>
      <c r="O172" t="s">
        <v>57</v>
      </c>
      <c r="Q172" t="s">
        <v>21</v>
      </c>
    </row>
    <row r="173" spans="1:17" x14ac:dyDescent="0.25">
      <c r="A173" t="s">
        <v>2369</v>
      </c>
      <c r="B173" t="s">
        <v>2370</v>
      </c>
      <c r="C173" t="s">
        <v>1622</v>
      </c>
      <c r="D173">
        <v>40.583300000000001</v>
      </c>
      <c r="E173">
        <v>-110.58329999999999</v>
      </c>
      <c r="F173">
        <v>10600</v>
      </c>
      <c r="G173" t="s">
        <v>1576</v>
      </c>
      <c r="K173">
        <v>0</v>
      </c>
      <c r="O173" t="s">
        <v>57</v>
      </c>
      <c r="Q173" t="s">
        <v>2284</v>
      </c>
    </row>
    <row r="174" spans="1:17" x14ac:dyDescent="0.25">
      <c r="A174" t="s">
        <v>2371</v>
      </c>
      <c r="B174" t="s">
        <v>2372</v>
      </c>
      <c r="C174" t="s">
        <v>19</v>
      </c>
      <c r="D174">
        <v>39.083300000000001</v>
      </c>
      <c r="E174">
        <v>-106.5333</v>
      </c>
      <c r="F174">
        <v>10600</v>
      </c>
      <c r="G174" t="s">
        <v>1576</v>
      </c>
      <c r="K174">
        <v>0</v>
      </c>
      <c r="O174" t="s">
        <v>57</v>
      </c>
      <c r="Q174" t="s">
        <v>2284</v>
      </c>
    </row>
    <row r="175" spans="1:17" x14ac:dyDescent="0.25">
      <c r="A175" t="s">
        <v>244</v>
      </c>
      <c r="B175" t="s">
        <v>245</v>
      </c>
      <c r="C175" t="s">
        <v>19</v>
      </c>
      <c r="D175">
        <v>39.083329999999997</v>
      </c>
      <c r="E175">
        <v>-106.53333000000001</v>
      </c>
      <c r="F175">
        <v>10600</v>
      </c>
      <c r="K175">
        <v>0</v>
      </c>
      <c r="O175" t="s">
        <v>57</v>
      </c>
      <c r="Q175" t="s">
        <v>21</v>
      </c>
    </row>
    <row r="176" spans="1:17" x14ac:dyDescent="0.25">
      <c r="A176" t="s">
        <v>2373</v>
      </c>
      <c r="B176" t="s">
        <v>2374</v>
      </c>
      <c r="C176" t="s">
        <v>1622</v>
      </c>
      <c r="D176">
        <v>39.133299999999998</v>
      </c>
      <c r="E176">
        <v>-111.4333</v>
      </c>
      <c r="F176">
        <v>9800</v>
      </c>
      <c r="G176" t="s">
        <v>1576</v>
      </c>
      <c r="K176">
        <v>0</v>
      </c>
      <c r="O176" t="s">
        <v>57</v>
      </c>
      <c r="Q176" t="s">
        <v>2284</v>
      </c>
    </row>
    <row r="177" spans="1:17" x14ac:dyDescent="0.25">
      <c r="A177" t="s">
        <v>1200</v>
      </c>
      <c r="B177" t="s">
        <v>1201</v>
      </c>
      <c r="C177" t="s">
        <v>37</v>
      </c>
      <c r="D177">
        <v>44.501390000000001</v>
      </c>
      <c r="E177">
        <v>-109.18333</v>
      </c>
      <c r="K177">
        <v>0</v>
      </c>
      <c r="O177" t="s">
        <v>30</v>
      </c>
      <c r="Q177" t="s">
        <v>21</v>
      </c>
    </row>
    <row r="178" spans="1:17" x14ac:dyDescent="0.25">
      <c r="A178" t="s">
        <v>110</v>
      </c>
      <c r="B178" t="s">
        <v>111</v>
      </c>
      <c r="C178" t="s">
        <v>37</v>
      </c>
      <c r="D178">
        <v>44.491669999999999</v>
      </c>
      <c r="E178">
        <v>-109.29165999999999</v>
      </c>
      <c r="K178">
        <v>0</v>
      </c>
      <c r="O178" t="s">
        <v>30</v>
      </c>
      <c r="Q178" t="s">
        <v>21</v>
      </c>
    </row>
    <row r="179" spans="1:17" x14ac:dyDescent="0.25">
      <c r="A179" t="s">
        <v>112</v>
      </c>
      <c r="B179" t="s">
        <v>113</v>
      </c>
      <c r="C179" t="s">
        <v>37</v>
      </c>
      <c r="D179">
        <v>44.442500000000003</v>
      </c>
      <c r="E179">
        <v>-109.21249</v>
      </c>
      <c r="K179">
        <v>0</v>
      </c>
      <c r="O179" t="s">
        <v>30</v>
      </c>
      <c r="Q179" t="s">
        <v>21</v>
      </c>
    </row>
    <row r="180" spans="1:17" x14ac:dyDescent="0.25">
      <c r="A180" t="s">
        <v>108</v>
      </c>
      <c r="B180" t="s">
        <v>109</v>
      </c>
      <c r="C180" t="s">
        <v>37</v>
      </c>
      <c r="D180">
        <v>44.501390000000001</v>
      </c>
      <c r="E180">
        <v>-109.18333</v>
      </c>
      <c r="F180">
        <v>5360</v>
      </c>
      <c r="H180" s="1">
        <v>32549</v>
      </c>
      <c r="K180">
        <v>0</v>
      </c>
      <c r="O180" t="s">
        <v>30</v>
      </c>
      <c r="P180" t="s">
        <v>54</v>
      </c>
      <c r="Q180" t="s">
        <v>21</v>
      </c>
    </row>
    <row r="181" spans="1:17" x14ac:dyDescent="0.25">
      <c r="A181" t="s">
        <v>116</v>
      </c>
      <c r="B181" t="s">
        <v>117</v>
      </c>
      <c r="C181" t="s">
        <v>37</v>
      </c>
      <c r="D181">
        <v>44.467779999999998</v>
      </c>
      <c r="E181">
        <v>-109.16722</v>
      </c>
      <c r="F181">
        <v>5357</v>
      </c>
      <c r="K181">
        <v>0</v>
      </c>
      <c r="O181" t="s">
        <v>118</v>
      </c>
      <c r="Q181" t="s">
        <v>21</v>
      </c>
    </row>
    <row r="182" spans="1:17" x14ac:dyDescent="0.25">
      <c r="A182" t="s">
        <v>2375</v>
      </c>
      <c r="B182" t="s">
        <v>2376</v>
      </c>
      <c r="C182" t="s">
        <v>19</v>
      </c>
      <c r="D182">
        <v>40.216700000000003</v>
      </c>
      <c r="E182">
        <v>-106.58329999999999</v>
      </c>
      <c r="F182">
        <v>9240</v>
      </c>
      <c r="G182" t="s">
        <v>1576</v>
      </c>
      <c r="K182">
        <v>0</v>
      </c>
      <c r="O182" t="s">
        <v>57</v>
      </c>
      <c r="Q182" t="s">
        <v>2284</v>
      </c>
    </row>
    <row r="183" spans="1:17" x14ac:dyDescent="0.25">
      <c r="A183" t="s">
        <v>240</v>
      </c>
      <c r="B183" t="s">
        <v>241</v>
      </c>
      <c r="C183" t="s">
        <v>41</v>
      </c>
      <c r="D183">
        <v>46.987780000000001</v>
      </c>
      <c r="E183">
        <v>-104.80305</v>
      </c>
      <c r="F183">
        <v>2140</v>
      </c>
      <c r="K183">
        <v>0</v>
      </c>
      <c r="O183" t="s">
        <v>151</v>
      </c>
      <c r="Q183" t="s">
        <v>21</v>
      </c>
    </row>
    <row r="184" spans="1:17" x14ac:dyDescent="0.25">
      <c r="A184" t="s">
        <v>250</v>
      </c>
      <c r="B184" t="s">
        <v>251</v>
      </c>
      <c r="C184" t="s">
        <v>41</v>
      </c>
      <c r="D184">
        <v>46.778060000000004</v>
      </c>
      <c r="E184">
        <v>-105.29944999999999</v>
      </c>
      <c r="F184">
        <v>2270</v>
      </c>
      <c r="K184">
        <v>0</v>
      </c>
      <c r="O184" t="s">
        <v>151</v>
      </c>
      <c r="Q184" t="s">
        <v>21</v>
      </c>
    </row>
    <row r="185" spans="1:17" x14ac:dyDescent="0.25">
      <c r="A185" t="s">
        <v>2377</v>
      </c>
      <c r="B185" t="s">
        <v>2378</v>
      </c>
      <c r="C185" t="s">
        <v>1622</v>
      </c>
      <c r="D185">
        <v>41.683300000000003</v>
      </c>
      <c r="E185">
        <v>-111.41670000000001</v>
      </c>
      <c r="F185">
        <v>7950</v>
      </c>
      <c r="G185" t="s">
        <v>1576</v>
      </c>
      <c r="K185">
        <v>0</v>
      </c>
      <c r="O185" t="s">
        <v>57</v>
      </c>
      <c r="Q185" t="s">
        <v>2284</v>
      </c>
    </row>
    <row r="186" spans="1:17" x14ac:dyDescent="0.25">
      <c r="A186" t="s">
        <v>190</v>
      </c>
      <c r="B186" t="s">
        <v>191</v>
      </c>
      <c r="C186" t="s">
        <v>37</v>
      </c>
      <c r="D186">
        <v>43.176940000000002</v>
      </c>
      <c r="E186">
        <v>-109.20222</v>
      </c>
      <c r="K186">
        <v>0</v>
      </c>
      <c r="O186" t="s">
        <v>51</v>
      </c>
      <c r="Q186" t="s">
        <v>21</v>
      </c>
    </row>
    <row r="187" spans="1:17" x14ac:dyDescent="0.25">
      <c r="A187" t="s">
        <v>194</v>
      </c>
      <c r="B187" t="s">
        <v>195</v>
      </c>
      <c r="C187" t="s">
        <v>37</v>
      </c>
      <c r="D187">
        <v>43.2425</v>
      </c>
      <c r="E187">
        <v>-109.02222</v>
      </c>
      <c r="K187">
        <v>0</v>
      </c>
      <c r="O187" t="s">
        <v>51</v>
      </c>
      <c r="Q187" t="s">
        <v>21</v>
      </c>
    </row>
    <row r="188" spans="1:17" x14ac:dyDescent="0.25">
      <c r="A188" t="s">
        <v>204</v>
      </c>
      <c r="B188" t="s">
        <v>205</v>
      </c>
      <c r="C188" t="s">
        <v>37</v>
      </c>
      <c r="D188">
        <v>43.209719999999997</v>
      </c>
      <c r="E188">
        <v>-109.04165999999999</v>
      </c>
      <c r="K188">
        <v>0</v>
      </c>
      <c r="O188" t="s">
        <v>30</v>
      </c>
      <c r="P188" t="s">
        <v>54</v>
      </c>
      <c r="Q188" t="s">
        <v>21</v>
      </c>
    </row>
    <row r="189" spans="1:17" x14ac:dyDescent="0.25">
      <c r="A189" t="s">
        <v>2011</v>
      </c>
      <c r="B189" t="s">
        <v>2012</v>
      </c>
      <c r="C189" t="s">
        <v>1987</v>
      </c>
      <c r="D189">
        <v>35.200000000000003</v>
      </c>
      <c r="E189">
        <v>-114.57</v>
      </c>
      <c r="G189" t="s">
        <v>1576</v>
      </c>
      <c r="K189">
        <v>0</v>
      </c>
      <c r="O189" t="s">
        <v>20</v>
      </c>
      <c r="Q189" t="s">
        <v>1988</v>
      </c>
    </row>
    <row r="190" spans="1:17" x14ac:dyDescent="0.25">
      <c r="A190" t="s">
        <v>242</v>
      </c>
      <c r="B190" t="s">
        <v>243</v>
      </c>
      <c r="C190" t="s">
        <v>37</v>
      </c>
      <c r="D190">
        <v>44.783329999999999</v>
      </c>
      <c r="E190">
        <v>-107.53333000000001</v>
      </c>
      <c r="F190">
        <v>7880</v>
      </c>
      <c r="K190">
        <v>0</v>
      </c>
      <c r="O190" t="s">
        <v>57</v>
      </c>
      <c r="Q190" t="s">
        <v>21</v>
      </c>
    </row>
    <row r="191" spans="1:17" x14ac:dyDescent="0.25">
      <c r="A191" t="s">
        <v>2379</v>
      </c>
      <c r="B191" t="s">
        <v>2380</v>
      </c>
      <c r="C191" t="s">
        <v>2283</v>
      </c>
      <c r="D191">
        <v>36.353099999999998</v>
      </c>
      <c r="E191">
        <v>-108.45440000000001</v>
      </c>
      <c r="F191">
        <v>0</v>
      </c>
      <c r="G191" t="s">
        <v>1576</v>
      </c>
      <c r="K191">
        <v>0</v>
      </c>
      <c r="O191" t="s">
        <v>51</v>
      </c>
      <c r="Q191" t="s">
        <v>2284</v>
      </c>
    </row>
    <row r="192" spans="1:17" x14ac:dyDescent="0.25">
      <c r="A192" t="s">
        <v>2381</v>
      </c>
      <c r="B192" t="s">
        <v>2382</v>
      </c>
      <c r="C192" t="s">
        <v>19</v>
      </c>
      <c r="D192">
        <v>39.883299999999998</v>
      </c>
      <c r="E192">
        <v>-107.6</v>
      </c>
      <c r="F192">
        <v>9400</v>
      </c>
      <c r="G192" t="s">
        <v>1576</v>
      </c>
      <c r="K192">
        <v>0</v>
      </c>
      <c r="O192" t="s">
        <v>57</v>
      </c>
      <c r="Q192" t="s">
        <v>2284</v>
      </c>
    </row>
    <row r="193" spans="1:17" x14ac:dyDescent="0.25">
      <c r="A193" t="s">
        <v>236</v>
      </c>
      <c r="B193" t="s">
        <v>237</v>
      </c>
      <c r="C193" t="s">
        <v>37</v>
      </c>
      <c r="D193">
        <v>43.7</v>
      </c>
      <c r="E193">
        <v>-109.66665999999999</v>
      </c>
      <c r="F193">
        <v>8750</v>
      </c>
      <c r="K193">
        <v>0</v>
      </c>
      <c r="O193" t="s">
        <v>57</v>
      </c>
      <c r="Q193" t="s">
        <v>21</v>
      </c>
    </row>
    <row r="194" spans="1:17" x14ac:dyDescent="0.25">
      <c r="A194" t="s">
        <v>274</v>
      </c>
      <c r="B194" t="s">
        <v>275</v>
      </c>
      <c r="C194" t="s">
        <v>19</v>
      </c>
      <c r="D194">
        <v>39.248609999999999</v>
      </c>
      <c r="E194">
        <v>-106.47056000000001</v>
      </c>
      <c r="K194">
        <v>0</v>
      </c>
      <c r="O194" t="s">
        <v>20</v>
      </c>
      <c r="Q194" t="s">
        <v>21</v>
      </c>
    </row>
    <row r="195" spans="1:17" x14ac:dyDescent="0.25">
      <c r="A195" t="s">
        <v>2383</v>
      </c>
      <c r="B195" t="s">
        <v>2384</v>
      </c>
      <c r="C195" t="s">
        <v>19</v>
      </c>
      <c r="D195">
        <v>38.9</v>
      </c>
      <c r="E195">
        <v>-106.95</v>
      </c>
      <c r="F195">
        <v>10160</v>
      </c>
      <c r="G195" t="s">
        <v>1576</v>
      </c>
      <c r="K195">
        <v>0</v>
      </c>
      <c r="O195" t="s">
        <v>57</v>
      </c>
      <c r="Q195" t="s">
        <v>2284</v>
      </c>
    </row>
    <row r="196" spans="1:17" x14ac:dyDescent="0.25">
      <c r="A196" t="s">
        <v>2385</v>
      </c>
      <c r="B196" t="s">
        <v>2386</v>
      </c>
      <c r="C196" t="s">
        <v>2283</v>
      </c>
      <c r="D196">
        <v>32.884700000000002</v>
      </c>
      <c r="E196">
        <v>-107.2919</v>
      </c>
      <c r="F196">
        <v>4172.4399999999996</v>
      </c>
      <c r="G196" t="s">
        <v>1576</v>
      </c>
      <c r="K196">
        <v>0</v>
      </c>
      <c r="O196" t="s">
        <v>30</v>
      </c>
      <c r="Q196" t="s">
        <v>2284</v>
      </c>
    </row>
    <row r="197" spans="1:17" x14ac:dyDescent="0.25">
      <c r="A197" t="s">
        <v>350</v>
      </c>
      <c r="B197" t="s">
        <v>351</v>
      </c>
      <c r="C197" t="s">
        <v>19</v>
      </c>
      <c r="D197">
        <v>40.58916</v>
      </c>
      <c r="E197">
        <v>-105.06917</v>
      </c>
      <c r="K197">
        <v>0</v>
      </c>
      <c r="O197" t="s">
        <v>51</v>
      </c>
      <c r="Q197" t="s">
        <v>21</v>
      </c>
    </row>
    <row r="198" spans="1:17" x14ac:dyDescent="0.25">
      <c r="A198" t="s">
        <v>352</v>
      </c>
      <c r="B198" t="s">
        <v>353</v>
      </c>
      <c r="C198" t="s">
        <v>19</v>
      </c>
      <c r="D198">
        <v>40.664450000000002</v>
      </c>
      <c r="E198">
        <v>-105.22389</v>
      </c>
      <c r="K198">
        <v>0</v>
      </c>
      <c r="O198" t="s">
        <v>51</v>
      </c>
      <c r="Q198" t="s">
        <v>21</v>
      </c>
    </row>
    <row r="199" spans="1:17" x14ac:dyDescent="0.25">
      <c r="A199" t="s">
        <v>3481</v>
      </c>
      <c r="B199" t="s">
        <v>3482</v>
      </c>
      <c r="C199" t="s">
        <v>1643</v>
      </c>
      <c r="D199">
        <v>34.582999999999998</v>
      </c>
      <c r="E199">
        <v>-119.98</v>
      </c>
      <c r="F199">
        <v>781</v>
      </c>
      <c r="G199" t="s">
        <v>1589</v>
      </c>
      <c r="K199">
        <v>0</v>
      </c>
      <c r="O199" t="s">
        <v>30</v>
      </c>
      <c r="Q199" t="s">
        <v>3478</v>
      </c>
    </row>
    <row r="200" spans="1:17" x14ac:dyDescent="0.25">
      <c r="A200" t="s">
        <v>286</v>
      </c>
      <c r="B200" t="s">
        <v>287</v>
      </c>
      <c r="C200" t="s">
        <v>26</v>
      </c>
      <c r="D200">
        <v>41.827219999999997</v>
      </c>
      <c r="E200">
        <v>-99.219719999999995</v>
      </c>
      <c r="K200">
        <v>0</v>
      </c>
      <c r="O200" t="s">
        <v>30</v>
      </c>
      <c r="P200" t="s">
        <v>107</v>
      </c>
      <c r="Q200" t="s">
        <v>21</v>
      </c>
    </row>
    <row r="201" spans="1:17" x14ac:dyDescent="0.25">
      <c r="A201" t="s">
        <v>360</v>
      </c>
      <c r="B201" t="s">
        <v>361</v>
      </c>
      <c r="C201" t="s">
        <v>41</v>
      </c>
      <c r="D201">
        <v>45.883339999999997</v>
      </c>
      <c r="E201">
        <v>-113.33334000000001</v>
      </c>
      <c r="F201">
        <v>6430</v>
      </c>
      <c r="K201">
        <v>0</v>
      </c>
      <c r="O201" t="s">
        <v>57</v>
      </c>
      <c r="Q201" t="s">
        <v>21</v>
      </c>
    </row>
    <row r="202" spans="1:17" x14ac:dyDescent="0.25">
      <c r="A202" t="s">
        <v>290</v>
      </c>
      <c r="B202" t="s">
        <v>291</v>
      </c>
      <c r="C202" t="s">
        <v>26</v>
      </c>
      <c r="D202">
        <v>40.251109999999997</v>
      </c>
      <c r="E202">
        <v>-99.636939999999996</v>
      </c>
      <c r="K202">
        <v>0</v>
      </c>
      <c r="O202" t="s">
        <v>34</v>
      </c>
      <c r="Q202" t="s">
        <v>21</v>
      </c>
    </row>
    <row r="203" spans="1:17" x14ac:dyDescent="0.25">
      <c r="A203" t="s">
        <v>282</v>
      </c>
      <c r="B203" t="s">
        <v>283</v>
      </c>
      <c r="C203" t="s">
        <v>26</v>
      </c>
      <c r="D203">
        <v>40.117220000000003</v>
      </c>
      <c r="E203">
        <v>-99.41583</v>
      </c>
      <c r="K203">
        <v>0</v>
      </c>
      <c r="O203" t="s">
        <v>34</v>
      </c>
      <c r="Q203" t="s">
        <v>21</v>
      </c>
    </row>
    <row r="204" spans="1:17" x14ac:dyDescent="0.25">
      <c r="A204" t="s">
        <v>304</v>
      </c>
      <c r="B204" t="s">
        <v>305</v>
      </c>
      <c r="C204" t="s">
        <v>26</v>
      </c>
      <c r="D204">
        <v>40.143889999999999</v>
      </c>
      <c r="E204">
        <v>-99.461939999999998</v>
      </c>
      <c r="K204">
        <v>0</v>
      </c>
      <c r="O204" t="s">
        <v>34</v>
      </c>
      <c r="Q204" t="s">
        <v>21</v>
      </c>
    </row>
    <row r="205" spans="1:17" x14ac:dyDescent="0.25">
      <c r="A205" t="s">
        <v>331</v>
      </c>
      <c r="B205" t="s">
        <v>332</v>
      </c>
      <c r="C205" t="s">
        <v>26</v>
      </c>
      <c r="D205">
        <v>40.28528</v>
      </c>
      <c r="E205">
        <v>-100.12083</v>
      </c>
      <c r="K205">
        <v>0</v>
      </c>
      <c r="O205" t="s">
        <v>20</v>
      </c>
      <c r="Q205" t="s">
        <v>21</v>
      </c>
    </row>
    <row r="206" spans="1:17" x14ac:dyDescent="0.25">
      <c r="A206" t="s">
        <v>2013</v>
      </c>
      <c r="B206" t="s">
        <v>2014</v>
      </c>
      <c r="C206" t="s">
        <v>1987</v>
      </c>
      <c r="D206">
        <v>32.880000000000003</v>
      </c>
      <c r="E206">
        <v>-114.46</v>
      </c>
      <c r="G206" t="s">
        <v>1576</v>
      </c>
      <c r="K206">
        <v>0</v>
      </c>
      <c r="O206" t="s">
        <v>20</v>
      </c>
      <c r="Q206" t="s">
        <v>1988</v>
      </c>
    </row>
    <row r="207" spans="1:17" x14ac:dyDescent="0.25">
      <c r="A207" t="s">
        <v>2387</v>
      </c>
      <c r="B207" t="s">
        <v>2388</v>
      </c>
      <c r="C207" t="s">
        <v>1622</v>
      </c>
      <c r="D207">
        <v>37.799999999999997</v>
      </c>
      <c r="E207">
        <v>-109.4833</v>
      </c>
      <c r="F207">
        <v>8600</v>
      </c>
      <c r="G207" t="s">
        <v>1576</v>
      </c>
      <c r="K207">
        <v>0</v>
      </c>
      <c r="O207" t="s">
        <v>57</v>
      </c>
      <c r="Q207" t="s">
        <v>2284</v>
      </c>
    </row>
    <row r="208" spans="1:17" x14ac:dyDescent="0.25">
      <c r="A208" t="s">
        <v>411</v>
      </c>
      <c r="B208" t="s">
        <v>412</v>
      </c>
      <c r="C208" t="s">
        <v>86</v>
      </c>
      <c r="D208">
        <v>35.470280000000002</v>
      </c>
      <c r="E208">
        <v>-101.87917</v>
      </c>
      <c r="K208">
        <v>0</v>
      </c>
      <c r="O208" t="s">
        <v>51</v>
      </c>
      <c r="Q208" t="s">
        <v>21</v>
      </c>
    </row>
    <row r="209" spans="1:17" x14ac:dyDescent="0.25">
      <c r="A209" t="s">
        <v>2389</v>
      </c>
      <c r="B209" t="s">
        <v>2390</v>
      </c>
      <c r="C209" t="s">
        <v>2283</v>
      </c>
      <c r="D209">
        <v>36.69</v>
      </c>
      <c r="E209">
        <v>-107.75579999999999</v>
      </c>
      <c r="F209">
        <v>0</v>
      </c>
      <c r="G209" t="s">
        <v>1576</v>
      </c>
      <c r="K209">
        <v>0</v>
      </c>
      <c r="O209" t="s">
        <v>51</v>
      </c>
      <c r="Q209" t="s">
        <v>2284</v>
      </c>
    </row>
    <row r="210" spans="1:17" x14ac:dyDescent="0.25">
      <c r="A210" t="s">
        <v>337</v>
      </c>
      <c r="B210" t="s">
        <v>338</v>
      </c>
      <c r="C210" t="s">
        <v>41</v>
      </c>
      <c r="D210">
        <v>46.649169999999998</v>
      </c>
      <c r="E210">
        <v>-111.72750000000001</v>
      </c>
      <c r="K210">
        <v>0</v>
      </c>
      <c r="O210" t="s">
        <v>30</v>
      </c>
      <c r="P210" t="s">
        <v>324</v>
      </c>
      <c r="Q210" t="s">
        <v>21</v>
      </c>
    </row>
    <row r="211" spans="1:17" x14ac:dyDescent="0.25">
      <c r="A211" t="s">
        <v>339</v>
      </c>
      <c r="B211" t="s">
        <v>338</v>
      </c>
      <c r="C211" t="s">
        <v>41</v>
      </c>
      <c r="D211">
        <v>46.649169999999998</v>
      </c>
      <c r="E211">
        <v>-111.72750000000001</v>
      </c>
      <c r="K211">
        <v>0</v>
      </c>
      <c r="O211" t="s">
        <v>30</v>
      </c>
      <c r="Q211" t="s">
        <v>21</v>
      </c>
    </row>
    <row r="212" spans="1:17" x14ac:dyDescent="0.25">
      <c r="A212" t="s">
        <v>1205</v>
      </c>
      <c r="B212" t="s">
        <v>1206</v>
      </c>
      <c r="C212" t="s">
        <v>41</v>
      </c>
      <c r="D212">
        <v>46.649169999999998</v>
      </c>
      <c r="E212">
        <v>-111.72750000000001</v>
      </c>
      <c r="K212">
        <v>0</v>
      </c>
      <c r="O212" t="s">
        <v>30</v>
      </c>
      <c r="Q212" t="s">
        <v>21</v>
      </c>
    </row>
    <row r="213" spans="1:17" x14ac:dyDescent="0.25">
      <c r="A213" t="s">
        <v>1207</v>
      </c>
      <c r="B213" t="s">
        <v>1208</v>
      </c>
      <c r="C213" t="s">
        <v>41</v>
      </c>
      <c r="D213">
        <v>46.649169999999998</v>
      </c>
      <c r="E213">
        <v>-111.72750000000001</v>
      </c>
      <c r="K213">
        <v>0</v>
      </c>
      <c r="O213" t="s">
        <v>30</v>
      </c>
      <c r="Q213" t="s">
        <v>21</v>
      </c>
    </row>
    <row r="214" spans="1:17" x14ac:dyDescent="0.25">
      <c r="A214" t="s">
        <v>288</v>
      </c>
      <c r="B214" t="s">
        <v>289</v>
      </c>
      <c r="C214" t="s">
        <v>37</v>
      </c>
      <c r="D214">
        <v>41.267220000000002</v>
      </c>
      <c r="E214">
        <v>-106.74527999999999</v>
      </c>
      <c r="F214">
        <v>7940</v>
      </c>
      <c r="K214">
        <v>0</v>
      </c>
      <c r="O214" t="s">
        <v>57</v>
      </c>
      <c r="Q214" t="s">
        <v>21</v>
      </c>
    </row>
    <row r="215" spans="1:17" x14ac:dyDescent="0.25">
      <c r="A215" t="s">
        <v>2015</v>
      </c>
      <c r="B215" t="s">
        <v>2016</v>
      </c>
      <c r="C215" t="s">
        <v>1987</v>
      </c>
      <c r="D215">
        <v>34.288899999999998</v>
      </c>
      <c r="E215">
        <v>-114.1031</v>
      </c>
      <c r="G215" t="s">
        <v>1576</v>
      </c>
      <c r="K215">
        <v>0</v>
      </c>
      <c r="O215" t="s">
        <v>20</v>
      </c>
      <c r="Q215" t="s">
        <v>1988</v>
      </c>
    </row>
    <row r="216" spans="1:17" x14ac:dyDescent="0.25">
      <c r="A216" t="s">
        <v>417</v>
      </c>
      <c r="B216" t="s">
        <v>418</v>
      </c>
      <c r="C216" t="s">
        <v>41</v>
      </c>
      <c r="D216">
        <v>44.966670000000001</v>
      </c>
      <c r="E216">
        <v>-111.28333000000001</v>
      </c>
      <c r="F216">
        <v>7000</v>
      </c>
      <c r="K216">
        <v>0</v>
      </c>
      <c r="O216" t="s">
        <v>57</v>
      </c>
      <c r="Q216" t="s">
        <v>21</v>
      </c>
    </row>
    <row r="217" spans="1:17" x14ac:dyDescent="0.25">
      <c r="A217" t="s">
        <v>292</v>
      </c>
      <c r="B217" t="s">
        <v>293</v>
      </c>
      <c r="C217" t="s">
        <v>19</v>
      </c>
      <c r="D217">
        <v>40.588889999999999</v>
      </c>
      <c r="E217">
        <v>-105.37334</v>
      </c>
      <c r="K217">
        <v>0</v>
      </c>
      <c r="O217" t="s">
        <v>20</v>
      </c>
      <c r="Q217" t="s">
        <v>21</v>
      </c>
    </row>
    <row r="218" spans="1:17" x14ac:dyDescent="0.25">
      <c r="A218" t="s">
        <v>294</v>
      </c>
      <c r="B218" t="s">
        <v>295</v>
      </c>
      <c r="C218" t="s">
        <v>19</v>
      </c>
      <c r="D218">
        <v>39.366660000000003</v>
      </c>
      <c r="E218">
        <v>-106.54443999999999</v>
      </c>
      <c r="K218">
        <v>0</v>
      </c>
      <c r="O218" t="s">
        <v>20</v>
      </c>
      <c r="Q218" t="s">
        <v>21</v>
      </c>
    </row>
    <row r="219" spans="1:17" x14ac:dyDescent="0.25">
      <c r="A219" t="s">
        <v>298</v>
      </c>
      <c r="B219" t="s">
        <v>299</v>
      </c>
      <c r="C219" t="s">
        <v>19</v>
      </c>
      <c r="D219">
        <v>40.324170000000002</v>
      </c>
      <c r="E219">
        <v>-105.21194</v>
      </c>
      <c r="K219">
        <v>0</v>
      </c>
      <c r="O219" t="s">
        <v>30</v>
      </c>
      <c r="P219" t="s">
        <v>38</v>
      </c>
      <c r="Q219" t="s">
        <v>21</v>
      </c>
    </row>
    <row r="220" spans="1:17" x14ac:dyDescent="0.25">
      <c r="A220" t="s">
        <v>2395</v>
      </c>
      <c r="B220" t="s">
        <v>2396</v>
      </c>
      <c r="C220" t="s">
        <v>19</v>
      </c>
      <c r="D220">
        <v>37.65</v>
      </c>
      <c r="E220">
        <v>-107.8</v>
      </c>
      <c r="F220">
        <v>8880</v>
      </c>
      <c r="G220" t="s">
        <v>1576</v>
      </c>
      <c r="K220">
        <v>0</v>
      </c>
      <c r="O220" t="s">
        <v>57</v>
      </c>
      <c r="Q220" t="s">
        <v>2284</v>
      </c>
    </row>
    <row r="221" spans="1:17" x14ac:dyDescent="0.25">
      <c r="A221" t="s">
        <v>2391</v>
      </c>
      <c r="B221" t="s">
        <v>2392</v>
      </c>
      <c r="C221" t="s">
        <v>19</v>
      </c>
      <c r="D221">
        <v>37.666699999999999</v>
      </c>
      <c r="E221">
        <v>-107.8</v>
      </c>
      <c r="F221">
        <v>8920</v>
      </c>
      <c r="G221" t="s">
        <v>1576</v>
      </c>
      <c r="K221">
        <v>0</v>
      </c>
      <c r="O221" t="s">
        <v>57</v>
      </c>
      <c r="Q221" t="s">
        <v>2284</v>
      </c>
    </row>
    <row r="222" spans="1:17" x14ac:dyDescent="0.25">
      <c r="A222" t="s">
        <v>2393</v>
      </c>
      <c r="B222" t="s">
        <v>2394</v>
      </c>
      <c r="C222" t="s">
        <v>1622</v>
      </c>
      <c r="D222">
        <v>40.28</v>
      </c>
      <c r="E222">
        <v>-111.60899999999999</v>
      </c>
      <c r="F222">
        <v>7768</v>
      </c>
      <c r="G222" t="s">
        <v>1576</v>
      </c>
      <c r="K222">
        <v>0</v>
      </c>
      <c r="O222" t="s">
        <v>57</v>
      </c>
      <c r="Q222" t="s">
        <v>2284</v>
      </c>
    </row>
    <row r="223" spans="1:17" x14ac:dyDescent="0.25">
      <c r="A223" t="s">
        <v>306</v>
      </c>
      <c r="B223" t="s">
        <v>307</v>
      </c>
      <c r="C223" t="s">
        <v>37</v>
      </c>
      <c r="D223">
        <v>42.733330000000002</v>
      </c>
      <c r="E223">
        <v>-106.64417</v>
      </c>
      <c r="K223">
        <v>0</v>
      </c>
      <c r="O223" t="s">
        <v>34</v>
      </c>
      <c r="Q223" t="s">
        <v>21</v>
      </c>
    </row>
    <row r="224" spans="1:17" x14ac:dyDescent="0.25">
      <c r="A224" t="s">
        <v>302</v>
      </c>
      <c r="B224" t="s">
        <v>303</v>
      </c>
      <c r="C224" t="s">
        <v>37</v>
      </c>
      <c r="D224">
        <v>42.733330000000002</v>
      </c>
      <c r="E224">
        <v>-106.31667</v>
      </c>
      <c r="F224">
        <v>7850</v>
      </c>
      <c r="K224">
        <v>0</v>
      </c>
      <c r="O224" t="s">
        <v>57</v>
      </c>
      <c r="Q224" t="s">
        <v>21</v>
      </c>
    </row>
    <row r="225" spans="1:17" x14ac:dyDescent="0.25">
      <c r="A225" t="s">
        <v>325</v>
      </c>
      <c r="B225" t="s">
        <v>326</v>
      </c>
      <c r="C225" t="s">
        <v>37</v>
      </c>
      <c r="D225">
        <v>43.666670000000003</v>
      </c>
      <c r="E225">
        <v>-109.38333</v>
      </c>
      <c r="F225">
        <v>8400</v>
      </c>
      <c r="K225">
        <v>0</v>
      </c>
      <c r="O225" t="s">
        <v>57</v>
      </c>
      <c r="Q225" t="s">
        <v>21</v>
      </c>
    </row>
    <row r="226" spans="1:17" x14ac:dyDescent="0.25">
      <c r="A226" t="s">
        <v>1662</v>
      </c>
      <c r="B226" t="s">
        <v>1663</v>
      </c>
      <c r="C226" t="s">
        <v>1622</v>
      </c>
      <c r="D226">
        <v>39.220131000000002</v>
      </c>
      <c r="E226">
        <v>-111.07003</v>
      </c>
      <c r="F226">
        <v>1798</v>
      </c>
      <c r="G226" t="s">
        <v>1576</v>
      </c>
      <c r="H226" s="1">
        <v>41974</v>
      </c>
      <c r="J226" t="s">
        <v>1577</v>
      </c>
      <c r="K226">
        <v>0</v>
      </c>
      <c r="L226" t="s">
        <v>1578</v>
      </c>
      <c r="O226" t="s">
        <v>151</v>
      </c>
      <c r="P226" t="s">
        <v>1585</v>
      </c>
      <c r="Q226" t="s">
        <v>1580</v>
      </c>
    </row>
    <row r="227" spans="1:17" x14ac:dyDescent="0.25">
      <c r="A227" t="s">
        <v>2397</v>
      </c>
      <c r="B227" t="s">
        <v>2398</v>
      </c>
      <c r="C227" t="s">
        <v>1622</v>
      </c>
      <c r="D227">
        <v>37.75</v>
      </c>
      <c r="E227">
        <v>-112.7333</v>
      </c>
      <c r="F227">
        <v>9580</v>
      </c>
      <c r="G227" t="s">
        <v>1576</v>
      </c>
      <c r="K227">
        <v>0</v>
      </c>
      <c r="O227" t="s">
        <v>57</v>
      </c>
      <c r="Q227" t="s">
        <v>2284</v>
      </c>
    </row>
    <row r="228" spans="1:17" x14ac:dyDescent="0.25">
      <c r="A228" t="s">
        <v>1664</v>
      </c>
      <c r="B228" t="s">
        <v>1665</v>
      </c>
      <c r="C228" t="s">
        <v>1622</v>
      </c>
      <c r="D228">
        <v>38.648302000000001</v>
      </c>
      <c r="E228">
        <v>-109.398967</v>
      </c>
      <c r="F228">
        <v>1429</v>
      </c>
      <c r="G228" t="s">
        <v>1576</v>
      </c>
      <c r="H228" s="1">
        <v>42074</v>
      </c>
      <c r="J228" t="s">
        <v>1577</v>
      </c>
      <c r="K228">
        <v>0</v>
      </c>
      <c r="L228" t="s">
        <v>1578</v>
      </c>
      <c r="O228" t="s">
        <v>151</v>
      </c>
      <c r="P228" t="s">
        <v>1585</v>
      </c>
      <c r="Q228" t="s">
        <v>1580</v>
      </c>
    </row>
    <row r="229" spans="1:17" x14ac:dyDescent="0.25">
      <c r="A229" t="s">
        <v>2399</v>
      </c>
      <c r="B229" t="s">
        <v>2400</v>
      </c>
      <c r="C229" t="s">
        <v>1622</v>
      </c>
      <c r="D229">
        <v>41.173000000000002</v>
      </c>
      <c r="E229">
        <v>-111.35</v>
      </c>
      <c r="F229">
        <v>5692</v>
      </c>
      <c r="G229" t="s">
        <v>1576</v>
      </c>
      <c r="K229">
        <v>0</v>
      </c>
      <c r="O229" t="s">
        <v>30</v>
      </c>
      <c r="Q229" t="s">
        <v>2284</v>
      </c>
    </row>
    <row r="230" spans="1:17" x14ac:dyDescent="0.25">
      <c r="A230" t="s">
        <v>318</v>
      </c>
      <c r="B230" t="s">
        <v>319</v>
      </c>
      <c r="C230" t="s">
        <v>44</v>
      </c>
      <c r="D230">
        <v>39.498890000000003</v>
      </c>
      <c r="E230">
        <v>-98.440560000000005</v>
      </c>
      <c r="K230">
        <v>0</v>
      </c>
      <c r="O230" t="s">
        <v>30</v>
      </c>
      <c r="Q230" t="s">
        <v>21</v>
      </c>
    </row>
    <row r="231" spans="1:17" x14ac:dyDescent="0.25">
      <c r="A231" t="s">
        <v>312</v>
      </c>
      <c r="B231" t="s">
        <v>313</v>
      </c>
      <c r="C231" t="s">
        <v>44</v>
      </c>
      <c r="D231">
        <v>38.79</v>
      </c>
      <c r="E231">
        <v>-99.720280000000002</v>
      </c>
      <c r="K231">
        <v>0</v>
      </c>
      <c r="O231" t="s">
        <v>30</v>
      </c>
      <c r="P231" t="s">
        <v>107</v>
      </c>
      <c r="Q231" t="s">
        <v>21</v>
      </c>
    </row>
    <row r="232" spans="1:17" x14ac:dyDescent="0.25">
      <c r="A232" t="s">
        <v>1641</v>
      </c>
      <c r="B232" t="s">
        <v>1642</v>
      </c>
      <c r="C232" t="s">
        <v>1643</v>
      </c>
      <c r="D232">
        <v>41.585270000000001</v>
      </c>
      <c r="E232">
        <v>-120.17138</v>
      </c>
      <c r="F232">
        <v>1402.08</v>
      </c>
      <c r="G232" t="s">
        <v>1589</v>
      </c>
      <c r="H232" s="1">
        <v>31138</v>
      </c>
      <c r="J232" t="s">
        <v>1577</v>
      </c>
      <c r="K232">
        <v>0</v>
      </c>
      <c r="L232" t="s">
        <v>1578</v>
      </c>
      <c r="O232" t="s">
        <v>151</v>
      </c>
      <c r="P232" t="s">
        <v>1585</v>
      </c>
      <c r="Q232" t="s">
        <v>1580</v>
      </c>
    </row>
    <row r="233" spans="1:17" x14ac:dyDescent="0.25">
      <c r="A233" t="s">
        <v>2401</v>
      </c>
      <c r="B233" t="s">
        <v>2402</v>
      </c>
      <c r="C233" t="s">
        <v>19</v>
      </c>
      <c r="D233">
        <v>37.819699999999997</v>
      </c>
      <c r="E233">
        <v>-107.6631</v>
      </c>
      <c r="F233">
        <v>9380</v>
      </c>
      <c r="G233" t="s">
        <v>1576</v>
      </c>
      <c r="K233">
        <v>0</v>
      </c>
      <c r="O233" t="s">
        <v>51</v>
      </c>
      <c r="Q233" t="s">
        <v>2284</v>
      </c>
    </row>
    <row r="234" spans="1:17" x14ac:dyDescent="0.25">
      <c r="A234" t="s">
        <v>316</v>
      </c>
      <c r="B234" t="s">
        <v>317</v>
      </c>
      <c r="C234" t="s">
        <v>26</v>
      </c>
      <c r="D234">
        <v>40.091670000000001</v>
      </c>
      <c r="E234">
        <v>-98.96611</v>
      </c>
      <c r="K234">
        <v>0</v>
      </c>
      <c r="O234" t="s">
        <v>51</v>
      </c>
      <c r="Q234" t="s">
        <v>21</v>
      </c>
    </row>
    <row r="235" spans="1:17" x14ac:dyDescent="0.25">
      <c r="A235" t="s">
        <v>2403</v>
      </c>
      <c r="B235" t="s">
        <v>2404</v>
      </c>
      <c r="C235" t="s">
        <v>2283</v>
      </c>
      <c r="D235">
        <v>36.724400000000003</v>
      </c>
      <c r="E235">
        <v>-108.5908</v>
      </c>
      <c r="F235">
        <v>4980</v>
      </c>
      <c r="G235" t="s">
        <v>1576</v>
      </c>
      <c r="K235">
        <v>0</v>
      </c>
      <c r="O235" t="s">
        <v>51</v>
      </c>
      <c r="Q235" t="s">
        <v>2284</v>
      </c>
    </row>
    <row r="236" spans="1:17" x14ac:dyDescent="0.25">
      <c r="A236" t="s">
        <v>2405</v>
      </c>
      <c r="B236" t="s">
        <v>2406</v>
      </c>
      <c r="C236" t="s">
        <v>2283</v>
      </c>
      <c r="D236">
        <v>36.3658</v>
      </c>
      <c r="E236">
        <v>-108.5658</v>
      </c>
      <c r="F236">
        <v>0</v>
      </c>
      <c r="G236" t="s">
        <v>1576</v>
      </c>
      <c r="K236">
        <v>0</v>
      </c>
      <c r="O236" t="s">
        <v>51</v>
      </c>
      <c r="Q236" t="s">
        <v>2284</v>
      </c>
    </row>
    <row r="237" spans="1:17" x14ac:dyDescent="0.25">
      <c r="A237" t="s">
        <v>2407</v>
      </c>
      <c r="B237" t="s">
        <v>2408</v>
      </c>
      <c r="C237" t="s">
        <v>2283</v>
      </c>
      <c r="D237">
        <v>36.028599999999997</v>
      </c>
      <c r="E237">
        <v>-107.9178</v>
      </c>
      <c r="F237">
        <v>0</v>
      </c>
      <c r="G237" t="s">
        <v>1576</v>
      </c>
      <c r="K237">
        <v>0</v>
      </c>
      <c r="O237" t="s">
        <v>51</v>
      </c>
      <c r="Q237" t="s">
        <v>2284</v>
      </c>
    </row>
    <row r="238" spans="1:17" x14ac:dyDescent="0.25">
      <c r="A238" t="s">
        <v>2409</v>
      </c>
      <c r="B238" t="s">
        <v>2410</v>
      </c>
      <c r="C238" t="s">
        <v>2283</v>
      </c>
      <c r="D238">
        <v>36.020000000000003</v>
      </c>
      <c r="E238">
        <v>-107.8511</v>
      </c>
      <c r="F238">
        <v>0</v>
      </c>
      <c r="G238" t="s">
        <v>1576</v>
      </c>
      <c r="K238">
        <v>0</v>
      </c>
      <c r="O238" t="s">
        <v>51</v>
      </c>
      <c r="Q238" t="s">
        <v>2284</v>
      </c>
    </row>
    <row r="239" spans="1:17" x14ac:dyDescent="0.25">
      <c r="A239" t="s">
        <v>2411</v>
      </c>
      <c r="B239" t="s">
        <v>2412</v>
      </c>
      <c r="C239" t="s">
        <v>2283</v>
      </c>
      <c r="D239">
        <v>36.054200000000002</v>
      </c>
      <c r="E239">
        <v>-107.9644</v>
      </c>
      <c r="F239">
        <v>0</v>
      </c>
      <c r="G239" t="s">
        <v>1576</v>
      </c>
      <c r="K239">
        <v>0</v>
      </c>
      <c r="O239" t="s">
        <v>51</v>
      </c>
      <c r="Q239" t="s">
        <v>2284</v>
      </c>
    </row>
    <row r="240" spans="1:17" x14ac:dyDescent="0.25">
      <c r="A240" t="s">
        <v>2413</v>
      </c>
      <c r="B240" t="s">
        <v>2414</v>
      </c>
      <c r="C240" t="s">
        <v>2283</v>
      </c>
      <c r="D240">
        <v>35.935299999999998</v>
      </c>
      <c r="E240">
        <v>-107.5275</v>
      </c>
      <c r="F240">
        <v>0</v>
      </c>
      <c r="G240" t="s">
        <v>1576</v>
      </c>
      <c r="K240">
        <v>0</v>
      </c>
      <c r="O240" t="s">
        <v>51</v>
      </c>
      <c r="Q240" t="s">
        <v>2284</v>
      </c>
    </row>
    <row r="241" spans="1:17" x14ac:dyDescent="0.25">
      <c r="A241" t="s">
        <v>2415</v>
      </c>
      <c r="B241" t="s">
        <v>2416</v>
      </c>
      <c r="C241" t="s">
        <v>1622</v>
      </c>
      <c r="D241">
        <v>40.85</v>
      </c>
      <c r="E241">
        <v>-111.0667</v>
      </c>
      <c r="F241">
        <v>9100</v>
      </c>
      <c r="G241" t="s">
        <v>1576</v>
      </c>
      <c r="K241">
        <v>0</v>
      </c>
      <c r="O241" t="s">
        <v>57</v>
      </c>
      <c r="Q241" t="s">
        <v>2284</v>
      </c>
    </row>
    <row r="242" spans="1:17" x14ac:dyDescent="0.25">
      <c r="A242" t="s">
        <v>2417</v>
      </c>
      <c r="B242" t="s">
        <v>2418</v>
      </c>
      <c r="C242" t="s">
        <v>1622</v>
      </c>
      <c r="D242">
        <v>40.9</v>
      </c>
      <c r="E242">
        <v>-111.0667</v>
      </c>
      <c r="F242">
        <v>8200</v>
      </c>
      <c r="G242" t="s">
        <v>1576</v>
      </c>
      <c r="K242">
        <v>0</v>
      </c>
      <c r="O242" t="s">
        <v>57</v>
      </c>
      <c r="Q242" t="s">
        <v>2284</v>
      </c>
    </row>
    <row r="243" spans="1:17" x14ac:dyDescent="0.25">
      <c r="A243" t="s">
        <v>344</v>
      </c>
      <c r="B243" t="s">
        <v>345</v>
      </c>
      <c r="C243" t="s">
        <v>19</v>
      </c>
      <c r="D243">
        <v>40.60333</v>
      </c>
      <c r="E243">
        <v>-105.85138999999999</v>
      </c>
      <c r="K243">
        <v>0</v>
      </c>
      <c r="O243" t="s">
        <v>30</v>
      </c>
      <c r="P243" t="s">
        <v>38</v>
      </c>
      <c r="Q243" t="s">
        <v>21</v>
      </c>
    </row>
    <row r="244" spans="1:17" x14ac:dyDescent="0.25">
      <c r="A244" t="s">
        <v>2419</v>
      </c>
      <c r="B244" t="s">
        <v>2420</v>
      </c>
      <c r="C244" t="s">
        <v>2283</v>
      </c>
      <c r="D244">
        <v>36.950000000000003</v>
      </c>
      <c r="E244">
        <v>-106.65</v>
      </c>
      <c r="F244">
        <v>8400</v>
      </c>
      <c r="G244" t="s">
        <v>1576</v>
      </c>
      <c r="K244">
        <v>0</v>
      </c>
      <c r="O244" t="s">
        <v>57</v>
      </c>
      <c r="Q244" t="s">
        <v>2284</v>
      </c>
    </row>
    <row r="245" spans="1:17" x14ac:dyDescent="0.25">
      <c r="A245" t="s">
        <v>1646</v>
      </c>
      <c r="B245" t="s">
        <v>1647</v>
      </c>
      <c r="C245" t="s">
        <v>1628</v>
      </c>
      <c r="D245">
        <v>48.031379999999999</v>
      </c>
      <c r="E245">
        <v>-117.73916</v>
      </c>
      <c r="F245">
        <v>594.36</v>
      </c>
      <c r="G245" t="s">
        <v>1589</v>
      </c>
      <c r="H245" s="1">
        <v>39413</v>
      </c>
      <c r="J245" t="s">
        <v>1577</v>
      </c>
      <c r="K245">
        <v>0</v>
      </c>
      <c r="L245" t="s">
        <v>1578</v>
      </c>
      <c r="O245" t="s">
        <v>151</v>
      </c>
      <c r="P245" t="s">
        <v>1585</v>
      </c>
      <c r="Q245" t="s">
        <v>1580</v>
      </c>
    </row>
    <row r="246" spans="1:17" x14ac:dyDescent="0.25">
      <c r="A246" t="s">
        <v>346</v>
      </c>
      <c r="B246" t="s">
        <v>347</v>
      </c>
      <c r="C246" t="s">
        <v>19</v>
      </c>
      <c r="D246">
        <v>39.26305</v>
      </c>
      <c r="E246">
        <v>-106.63028</v>
      </c>
      <c r="K246">
        <v>0</v>
      </c>
      <c r="O246" t="s">
        <v>20</v>
      </c>
      <c r="Q246" t="s">
        <v>21</v>
      </c>
    </row>
    <row r="247" spans="1:17" x14ac:dyDescent="0.25">
      <c r="A247" t="s">
        <v>1004</v>
      </c>
      <c r="B247" t="s">
        <v>1005</v>
      </c>
      <c r="C247" t="s">
        <v>19</v>
      </c>
      <c r="D247">
        <v>39.26417</v>
      </c>
      <c r="E247">
        <v>-106.63194</v>
      </c>
      <c r="K247">
        <v>0</v>
      </c>
      <c r="O247" t="s">
        <v>20</v>
      </c>
      <c r="Q247" t="s">
        <v>21</v>
      </c>
    </row>
    <row r="248" spans="1:17" x14ac:dyDescent="0.25">
      <c r="A248" t="s">
        <v>222</v>
      </c>
      <c r="B248" t="s">
        <v>223</v>
      </c>
      <c r="C248" t="s">
        <v>19</v>
      </c>
      <c r="D248">
        <v>39.27778</v>
      </c>
      <c r="E248">
        <v>-106.42777</v>
      </c>
      <c r="K248">
        <v>0</v>
      </c>
      <c r="O248" t="s">
        <v>20</v>
      </c>
      <c r="Q248" t="s">
        <v>21</v>
      </c>
    </row>
    <row r="249" spans="1:17" x14ac:dyDescent="0.25">
      <c r="A249" t="s">
        <v>689</v>
      </c>
      <c r="B249" t="s">
        <v>690</v>
      </c>
      <c r="C249" t="s">
        <v>19</v>
      </c>
      <c r="D249">
        <v>40.375</v>
      </c>
      <c r="E249">
        <v>-105.23083</v>
      </c>
      <c r="K249">
        <v>0</v>
      </c>
      <c r="O249" t="s">
        <v>34</v>
      </c>
      <c r="Q249" t="s">
        <v>21</v>
      </c>
    </row>
    <row r="250" spans="1:17" x14ac:dyDescent="0.25">
      <c r="A250" t="s">
        <v>691</v>
      </c>
      <c r="B250" t="s">
        <v>692</v>
      </c>
      <c r="C250" t="s">
        <v>19</v>
      </c>
      <c r="D250">
        <v>40.416670000000003</v>
      </c>
      <c r="E250">
        <v>-105.22611000000001</v>
      </c>
      <c r="K250">
        <v>0</v>
      </c>
      <c r="O250" t="s">
        <v>34</v>
      </c>
      <c r="Q250" t="s">
        <v>21</v>
      </c>
    </row>
    <row r="251" spans="1:17" x14ac:dyDescent="0.25">
      <c r="A251" t="s">
        <v>685</v>
      </c>
      <c r="B251" t="s">
        <v>686</v>
      </c>
      <c r="C251" t="s">
        <v>19</v>
      </c>
      <c r="D251">
        <v>40.394170000000003</v>
      </c>
      <c r="E251">
        <v>-105.21638</v>
      </c>
      <c r="K251">
        <v>0</v>
      </c>
      <c r="O251" t="s">
        <v>34</v>
      </c>
      <c r="Q251" t="s">
        <v>21</v>
      </c>
    </row>
    <row r="252" spans="1:17" x14ac:dyDescent="0.25">
      <c r="A252" t="s">
        <v>340</v>
      </c>
      <c r="B252" t="s">
        <v>341</v>
      </c>
      <c r="C252" t="s">
        <v>44</v>
      </c>
      <c r="D252">
        <v>37.726109999999998</v>
      </c>
      <c r="E252">
        <v>-97.793890000000005</v>
      </c>
      <c r="K252">
        <v>0</v>
      </c>
      <c r="O252" t="s">
        <v>30</v>
      </c>
      <c r="Q252" t="s">
        <v>21</v>
      </c>
    </row>
    <row r="253" spans="1:17" x14ac:dyDescent="0.25">
      <c r="A253" t="s">
        <v>342</v>
      </c>
      <c r="B253" t="s">
        <v>343</v>
      </c>
      <c r="C253" t="s">
        <v>44</v>
      </c>
      <c r="D253">
        <v>37.726100000000002</v>
      </c>
      <c r="E253">
        <v>-97.793899999999994</v>
      </c>
      <c r="K253">
        <v>0</v>
      </c>
      <c r="O253" t="s">
        <v>30</v>
      </c>
      <c r="P253" t="s">
        <v>48</v>
      </c>
      <c r="Q253" t="s">
        <v>21</v>
      </c>
    </row>
    <row r="254" spans="1:17" x14ac:dyDescent="0.25">
      <c r="A254" t="s">
        <v>2421</v>
      </c>
      <c r="B254" t="s">
        <v>2422</v>
      </c>
      <c r="C254" t="s">
        <v>1622</v>
      </c>
      <c r="D254">
        <v>40.7667</v>
      </c>
      <c r="E254">
        <v>-110</v>
      </c>
      <c r="F254">
        <v>10300</v>
      </c>
      <c r="G254" t="s">
        <v>1576</v>
      </c>
      <c r="K254">
        <v>0</v>
      </c>
      <c r="O254" t="s">
        <v>57</v>
      </c>
      <c r="Q254" t="s">
        <v>2284</v>
      </c>
    </row>
    <row r="255" spans="1:17" x14ac:dyDescent="0.25">
      <c r="A255" t="s">
        <v>327</v>
      </c>
      <c r="B255" t="s">
        <v>328</v>
      </c>
      <c r="C255" t="s">
        <v>37</v>
      </c>
      <c r="D255">
        <v>42.039439999999999</v>
      </c>
      <c r="E255">
        <v>-104.16861</v>
      </c>
      <c r="K255">
        <v>0</v>
      </c>
      <c r="O255" t="s">
        <v>34</v>
      </c>
      <c r="Q255" t="s">
        <v>21</v>
      </c>
    </row>
    <row r="256" spans="1:17" x14ac:dyDescent="0.25">
      <c r="A256" t="s">
        <v>2423</v>
      </c>
      <c r="B256" t="s">
        <v>2424</v>
      </c>
      <c r="C256" t="s">
        <v>19</v>
      </c>
      <c r="D256">
        <v>37.118899999999996</v>
      </c>
      <c r="E256">
        <v>-108.1981</v>
      </c>
      <c r="F256">
        <v>6466.47</v>
      </c>
      <c r="G256" t="s">
        <v>1576</v>
      </c>
      <c r="K256">
        <v>0</v>
      </c>
      <c r="O256" t="s">
        <v>51</v>
      </c>
      <c r="Q256" t="s">
        <v>2284</v>
      </c>
    </row>
    <row r="257" spans="1:17" x14ac:dyDescent="0.25">
      <c r="A257" t="s">
        <v>413</v>
      </c>
      <c r="B257" t="s">
        <v>414</v>
      </c>
      <c r="C257" t="s">
        <v>29</v>
      </c>
      <c r="D257">
        <v>43.305549999999997</v>
      </c>
      <c r="E257">
        <v>-103.82056</v>
      </c>
      <c r="K257">
        <v>0</v>
      </c>
      <c r="O257" t="s">
        <v>51</v>
      </c>
      <c r="Q257" t="s">
        <v>21</v>
      </c>
    </row>
    <row r="258" spans="1:17" x14ac:dyDescent="0.25">
      <c r="A258" t="s">
        <v>1650</v>
      </c>
      <c r="B258" t="s">
        <v>1651</v>
      </c>
      <c r="C258" t="s">
        <v>1628</v>
      </c>
      <c r="D258">
        <v>47.990830000000003</v>
      </c>
      <c r="E258">
        <v>-119.63554999999999</v>
      </c>
      <c r="F258">
        <v>301.75</v>
      </c>
      <c r="G258" t="s">
        <v>1589</v>
      </c>
      <c r="H258" s="1">
        <v>37361</v>
      </c>
      <c r="J258" t="s">
        <v>1577</v>
      </c>
      <c r="K258">
        <v>0</v>
      </c>
      <c r="L258" t="s">
        <v>1578</v>
      </c>
      <c r="O258" t="s">
        <v>151</v>
      </c>
      <c r="P258" t="s">
        <v>1585</v>
      </c>
      <c r="Q258" t="s">
        <v>1580</v>
      </c>
    </row>
    <row r="259" spans="1:17" x14ac:dyDescent="0.25">
      <c r="A259" t="s">
        <v>314</v>
      </c>
      <c r="B259" t="s">
        <v>315</v>
      </c>
      <c r="C259" t="s">
        <v>86</v>
      </c>
      <c r="D259">
        <v>28.466670000000001</v>
      </c>
      <c r="E259">
        <v>-98.166659999999993</v>
      </c>
      <c r="K259">
        <v>0</v>
      </c>
      <c r="O259" t="s">
        <v>30</v>
      </c>
      <c r="P259" t="s">
        <v>48</v>
      </c>
      <c r="Q259" t="s">
        <v>21</v>
      </c>
    </row>
    <row r="260" spans="1:17" x14ac:dyDescent="0.25">
      <c r="A260" t="s">
        <v>1648</v>
      </c>
      <c r="B260" t="s">
        <v>1649</v>
      </c>
      <c r="C260" t="s">
        <v>1588</v>
      </c>
      <c r="D260">
        <v>43.241379999999999</v>
      </c>
      <c r="E260">
        <v>-120.72805</v>
      </c>
      <c r="F260">
        <v>1312.16</v>
      </c>
      <c r="G260" t="s">
        <v>1589</v>
      </c>
      <c r="H260" s="1">
        <v>31138</v>
      </c>
      <c r="J260" t="s">
        <v>1577</v>
      </c>
      <c r="K260">
        <v>0</v>
      </c>
      <c r="L260" t="s">
        <v>1578</v>
      </c>
      <c r="O260" t="s">
        <v>151</v>
      </c>
      <c r="P260" t="s">
        <v>1585</v>
      </c>
      <c r="Q260" t="s">
        <v>1580</v>
      </c>
    </row>
    <row r="261" spans="1:17" x14ac:dyDescent="0.25">
      <c r="A261" t="s">
        <v>2017</v>
      </c>
      <c r="B261" t="s">
        <v>2018</v>
      </c>
      <c r="C261" t="s">
        <v>1987</v>
      </c>
      <c r="D261">
        <v>33.299999999999997</v>
      </c>
      <c r="E261">
        <v>-114.6</v>
      </c>
      <c r="G261" t="s">
        <v>1576</v>
      </c>
      <c r="K261">
        <v>0</v>
      </c>
      <c r="O261" t="s">
        <v>20</v>
      </c>
      <c r="Q261" t="s">
        <v>1988</v>
      </c>
    </row>
    <row r="262" spans="1:17" x14ac:dyDescent="0.25">
      <c r="A262" t="s">
        <v>2019</v>
      </c>
      <c r="B262" t="s">
        <v>2020</v>
      </c>
      <c r="C262" t="s">
        <v>1987</v>
      </c>
      <c r="D262">
        <v>33.4</v>
      </c>
      <c r="E262">
        <v>-114.6</v>
      </c>
      <c r="G262" t="s">
        <v>1576</v>
      </c>
      <c r="K262">
        <v>0</v>
      </c>
      <c r="O262" t="s">
        <v>20</v>
      </c>
      <c r="Q262" t="s">
        <v>1988</v>
      </c>
    </row>
    <row r="263" spans="1:17" x14ac:dyDescent="0.25">
      <c r="A263" t="s">
        <v>2425</v>
      </c>
      <c r="B263" t="s">
        <v>2426</v>
      </c>
      <c r="C263" t="s">
        <v>19</v>
      </c>
      <c r="D263">
        <v>38.257199999999997</v>
      </c>
      <c r="E263">
        <v>-107.5461</v>
      </c>
      <c r="F263">
        <v>8641.48</v>
      </c>
      <c r="G263" t="s">
        <v>1576</v>
      </c>
      <c r="K263">
        <v>0</v>
      </c>
      <c r="O263" t="s">
        <v>51</v>
      </c>
      <c r="Q263" t="s">
        <v>2284</v>
      </c>
    </row>
    <row r="264" spans="1:17" x14ac:dyDescent="0.25">
      <c r="A264" t="s">
        <v>348</v>
      </c>
      <c r="B264" t="s">
        <v>349</v>
      </c>
      <c r="C264" t="s">
        <v>37</v>
      </c>
      <c r="D264">
        <v>41.017780000000002</v>
      </c>
      <c r="E264">
        <v>-106.01778</v>
      </c>
      <c r="F264">
        <v>9574</v>
      </c>
      <c r="K264">
        <v>0</v>
      </c>
      <c r="O264" t="s">
        <v>57</v>
      </c>
      <c r="Q264" t="s">
        <v>21</v>
      </c>
    </row>
    <row r="265" spans="1:17" x14ac:dyDescent="0.25">
      <c r="A265" t="s">
        <v>2021</v>
      </c>
      <c r="B265" t="s">
        <v>2022</v>
      </c>
      <c r="C265" t="s">
        <v>1643</v>
      </c>
      <c r="D265">
        <v>34.1</v>
      </c>
      <c r="E265">
        <v>-114.3</v>
      </c>
      <c r="G265" t="s">
        <v>1589</v>
      </c>
      <c r="K265">
        <v>0</v>
      </c>
      <c r="O265" t="s">
        <v>20</v>
      </c>
      <c r="Q265" t="s">
        <v>1988</v>
      </c>
    </row>
    <row r="266" spans="1:17" x14ac:dyDescent="0.25">
      <c r="A266" t="s">
        <v>2023</v>
      </c>
      <c r="B266" t="s">
        <v>2024</v>
      </c>
      <c r="C266" t="s">
        <v>1604</v>
      </c>
      <c r="D266">
        <v>36.01</v>
      </c>
      <c r="E266">
        <v>-114.73</v>
      </c>
      <c r="G266" t="s">
        <v>1589</v>
      </c>
      <c r="K266">
        <v>0</v>
      </c>
      <c r="O266" t="s">
        <v>20</v>
      </c>
      <c r="Q266" t="s">
        <v>1988</v>
      </c>
    </row>
    <row r="267" spans="1:17" x14ac:dyDescent="0.25">
      <c r="A267" t="s">
        <v>2025</v>
      </c>
      <c r="B267" t="s">
        <v>2026</v>
      </c>
      <c r="C267" t="s">
        <v>1604</v>
      </c>
      <c r="D267">
        <v>36.049999999999997</v>
      </c>
      <c r="E267">
        <v>-114.8</v>
      </c>
      <c r="G267" t="s">
        <v>1589</v>
      </c>
      <c r="K267">
        <v>0</v>
      </c>
      <c r="O267" t="s">
        <v>20</v>
      </c>
      <c r="Q267" t="s">
        <v>1988</v>
      </c>
    </row>
    <row r="268" spans="1:17" x14ac:dyDescent="0.25">
      <c r="A268" t="s">
        <v>2027</v>
      </c>
      <c r="B268" t="s">
        <v>2028</v>
      </c>
      <c r="C268" t="s">
        <v>1643</v>
      </c>
      <c r="D268">
        <v>34.700000000000003</v>
      </c>
      <c r="E268">
        <v>-114.5</v>
      </c>
      <c r="G268" t="s">
        <v>1589</v>
      </c>
      <c r="K268">
        <v>0</v>
      </c>
      <c r="O268" t="s">
        <v>20</v>
      </c>
      <c r="Q268" t="s">
        <v>1988</v>
      </c>
    </row>
    <row r="269" spans="1:17" x14ac:dyDescent="0.25">
      <c r="A269" t="s">
        <v>2029</v>
      </c>
      <c r="B269" t="s">
        <v>2030</v>
      </c>
      <c r="C269" t="s">
        <v>1604</v>
      </c>
      <c r="D269">
        <v>36.08</v>
      </c>
      <c r="E269">
        <v>-114.8</v>
      </c>
      <c r="G269" t="s">
        <v>1589</v>
      </c>
      <c r="K269">
        <v>0</v>
      </c>
      <c r="O269" t="s">
        <v>20</v>
      </c>
      <c r="Q269" t="s">
        <v>1988</v>
      </c>
    </row>
    <row r="270" spans="1:17" x14ac:dyDescent="0.25">
      <c r="A270" t="s">
        <v>2031</v>
      </c>
      <c r="B270" t="s">
        <v>2032</v>
      </c>
      <c r="C270" t="s">
        <v>1643</v>
      </c>
      <c r="D270">
        <v>32.75</v>
      </c>
      <c r="E270">
        <v>-114.75</v>
      </c>
      <c r="G270" t="s">
        <v>1589</v>
      </c>
      <c r="K270">
        <v>0</v>
      </c>
      <c r="O270" t="s">
        <v>20</v>
      </c>
      <c r="Q270" t="s">
        <v>1988</v>
      </c>
    </row>
    <row r="271" spans="1:17" x14ac:dyDescent="0.25">
      <c r="A271" t="s">
        <v>2033</v>
      </c>
      <c r="B271" t="s">
        <v>2034</v>
      </c>
      <c r="C271" t="s">
        <v>1987</v>
      </c>
      <c r="D271">
        <v>32.869999999999997</v>
      </c>
      <c r="E271">
        <v>-114.48</v>
      </c>
      <c r="G271" t="s">
        <v>1576</v>
      </c>
      <c r="K271">
        <v>0</v>
      </c>
      <c r="O271" t="s">
        <v>20</v>
      </c>
      <c r="Q271" t="s">
        <v>1988</v>
      </c>
    </row>
    <row r="272" spans="1:17" x14ac:dyDescent="0.25">
      <c r="A272" t="s">
        <v>322</v>
      </c>
      <c r="B272" t="s">
        <v>323</v>
      </c>
      <c r="C272" t="s">
        <v>41</v>
      </c>
      <c r="D272">
        <v>45.001669999999997</v>
      </c>
      <c r="E272">
        <v>-112.8575</v>
      </c>
      <c r="K272">
        <v>0</v>
      </c>
      <c r="O272" t="s">
        <v>30</v>
      </c>
      <c r="P272" t="s">
        <v>324</v>
      </c>
      <c r="Q272" t="s">
        <v>21</v>
      </c>
    </row>
    <row r="273" spans="1:17" x14ac:dyDescent="0.25">
      <c r="A273" t="s">
        <v>335</v>
      </c>
      <c r="B273" t="s">
        <v>336</v>
      </c>
      <c r="C273" t="s">
        <v>41</v>
      </c>
      <c r="D273">
        <v>45.010280000000002</v>
      </c>
      <c r="E273">
        <v>-109.06473</v>
      </c>
      <c r="K273">
        <v>0</v>
      </c>
      <c r="O273" t="s">
        <v>51</v>
      </c>
      <c r="Q273" t="s">
        <v>21</v>
      </c>
    </row>
    <row r="274" spans="1:17" x14ac:dyDescent="0.25">
      <c r="A274" t="s">
        <v>2427</v>
      </c>
      <c r="B274" t="s">
        <v>2428</v>
      </c>
      <c r="C274" t="s">
        <v>1622</v>
      </c>
      <c r="D274">
        <v>37.97</v>
      </c>
      <c r="E274">
        <v>-111.83320000000001</v>
      </c>
      <c r="F274">
        <v>10000</v>
      </c>
      <c r="G274" t="s">
        <v>1576</v>
      </c>
      <c r="K274">
        <v>0</v>
      </c>
      <c r="O274" t="s">
        <v>57</v>
      </c>
      <c r="Q274" t="s">
        <v>2284</v>
      </c>
    </row>
    <row r="275" spans="1:17" x14ac:dyDescent="0.25">
      <c r="A275" t="s">
        <v>2429</v>
      </c>
      <c r="B275" t="s">
        <v>2430</v>
      </c>
      <c r="C275" t="s">
        <v>1622</v>
      </c>
      <c r="D275">
        <v>39.866700000000002</v>
      </c>
      <c r="E275">
        <v>-111.2833</v>
      </c>
      <c r="F275">
        <v>9200</v>
      </c>
      <c r="G275" t="s">
        <v>1576</v>
      </c>
      <c r="K275">
        <v>0</v>
      </c>
      <c r="O275" t="s">
        <v>57</v>
      </c>
      <c r="Q275" t="s">
        <v>2284</v>
      </c>
    </row>
    <row r="276" spans="1:17" x14ac:dyDescent="0.25">
      <c r="A276" t="s">
        <v>2431</v>
      </c>
      <c r="B276" t="s">
        <v>2432</v>
      </c>
      <c r="C276" t="s">
        <v>1622</v>
      </c>
      <c r="D276">
        <v>39.883299999999998</v>
      </c>
      <c r="E276">
        <v>-111.2667</v>
      </c>
      <c r="F276">
        <v>8300</v>
      </c>
      <c r="G276" t="s">
        <v>1576</v>
      </c>
      <c r="K276">
        <v>0</v>
      </c>
      <c r="O276" t="s">
        <v>57</v>
      </c>
      <c r="Q276" t="s">
        <v>2284</v>
      </c>
    </row>
    <row r="277" spans="1:17" x14ac:dyDescent="0.25">
      <c r="A277" t="s">
        <v>354</v>
      </c>
      <c r="B277" t="s">
        <v>355</v>
      </c>
      <c r="C277" t="s">
        <v>41</v>
      </c>
      <c r="D277">
        <v>48.58916</v>
      </c>
      <c r="E277">
        <v>-109.40166000000001</v>
      </c>
      <c r="K277">
        <v>0</v>
      </c>
      <c r="O277" t="s">
        <v>51</v>
      </c>
      <c r="Q277" t="s">
        <v>21</v>
      </c>
    </row>
    <row r="278" spans="1:17" x14ac:dyDescent="0.25">
      <c r="A278" t="s">
        <v>404</v>
      </c>
      <c r="B278" t="s">
        <v>405</v>
      </c>
      <c r="C278" t="s">
        <v>37</v>
      </c>
      <c r="D278">
        <v>44.4</v>
      </c>
      <c r="E278">
        <v>-107.06667</v>
      </c>
      <c r="F278">
        <v>9860</v>
      </c>
      <c r="K278">
        <v>0</v>
      </c>
      <c r="O278" t="s">
        <v>57</v>
      </c>
      <c r="Q278" t="s">
        <v>21</v>
      </c>
    </row>
    <row r="279" spans="1:17" x14ac:dyDescent="0.25">
      <c r="A279" t="s">
        <v>364</v>
      </c>
      <c r="B279" t="s">
        <v>365</v>
      </c>
      <c r="C279" t="s">
        <v>41</v>
      </c>
      <c r="D279">
        <v>45.016669999999998</v>
      </c>
      <c r="E279">
        <v>-111.85</v>
      </c>
      <c r="F279">
        <v>8800</v>
      </c>
      <c r="K279">
        <v>0</v>
      </c>
      <c r="O279" t="s">
        <v>57</v>
      </c>
      <c r="Q279" t="s">
        <v>21</v>
      </c>
    </row>
    <row r="280" spans="1:17" x14ac:dyDescent="0.25">
      <c r="A280" t="s">
        <v>2037</v>
      </c>
      <c r="B280" t="s">
        <v>2038</v>
      </c>
      <c r="C280" t="s">
        <v>1643</v>
      </c>
      <c r="D280">
        <v>32.869999999999997</v>
      </c>
      <c r="E280">
        <v>-114.48</v>
      </c>
      <c r="G280" t="s">
        <v>1589</v>
      </c>
      <c r="K280">
        <v>0</v>
      </c>
      <c r="O280" t="s">
        <v>20</v>
      </c>
      <c r="Q280" t="s">
        <v>1988</v>
      </c>
    </row>
    <row r="281" spans="1:17" x14ac:dyDescent="0.25">
      <c r="A281" t="s">
        <v>370</v>
      </c>
      <c r="B281" t="s">
        <v>371</v>
      </c>
      <c r="C281" t="s">
        <v>47</v>
      </c>
      <c r="D281">
        <v>35.283329999999999</v>
      </c>
      <c r="E281">
        <v>-98.593890000000002</v>
      </c>
      <c r="K281">
        <v>0</v>
      </c>
      <c r="O281" t="s">
        <v>51</v>
      </c>
      <c r="Q281" t="s">
        <v>21</v>
      </c>
    </row>
    <row r="282" spans="1:17" x14ac:dyDescent="0.25">
      <c r="A282" t="s">
        <v>2433</v>
      </c>
      <c r="B282" t="s">
        <v>2434</v>
      </c>
      <c r="C282" t="s">
        <v>19</v>
      </c>
      <c r="D282">
        <v>38.335599999999999</v>
      </c>
      <c r="E282">
        <v>-106.7717</v>
      </c>
      <c r="F282">
        <v>8470</v>
      </c>
      <c r="G282" t="s">
        <v>1576</v>
      </c>
      <c r="K282">
        <v>0</v>
      </c>
      <c r="O282" t="s">
        <v>51</v>
      </c>
      <c r="Q282" t="s">
        <v>2284</v>
      </c>
    </row>
    <row r="283" spans="1:17" x14ac:dyDescent="0.25">
      <c r="A283" t="s">
        <v>2435</v>
      </c>
      <c r="B283" t="s">
        <v>2436</v>
      </c>
      <c r="C283" t="s">
        <v>19</v>
      </c>
      <c r="D283">
        <v>38.167999999999999</v>
      </c>
      <c r="E283">
        <v>-106.498</v>
      </c>
      <c r="F283">
        <v>10020</v>
      </c>
      <c r="G283" t="s">
        <v>1576</v>
      </c>
      <c r="K283">
        <v>0</v>
      </c>
      <c r="O283" t="s">
        <v>57</v>
      </c>
      <c r="Q283" t="s">
        <v>2284</v>
      </c>
    </row>
    <row r="284" spans="1:17" x14ac:dyDescent="0.25">
      <c r="A284" t="s">
        <v>2437</v>
      </c>
      <c r="B284" t="s">
        <v>2438</v>
      </c>
      <c r="C284" t="s">
        <v>2283</v>
      </c>
      <c r="D284">
        <v>35.617199999999997</v>
      </c>
      <c r="E284">
        <v>-106.32389999999999</v>
      </c>
      <c r="G284" t="s">
        <v>1576</v>
      </c>
      <c r="K284">
        <v>0</v>
      </c>
      <c r="O284" t="s">
        <v>20</v>
      </c>
      <c r="Q284" t="s">
        <v>2284</v>
      </c>
    </row>
    <row r="285" spans="1:17" x14ac:dyDescent="0.25">
      <c r="A285" t="s">
        <v>2439</v>
      </c>
      <c r="B285" t="s">
        <v>2440</v>
      </c>
      <c r="C285" t="s">
        <v>2283</v>
      </c>
      <c r="D285">
        <v>35.616900000000001</v>
      </c>
      <c r="E285">
        <v>-106.31610000000001</v>
      </c>
      <c r="G285" t="s">
        <v>1576</v>
      </c>
      <c r="K285">
        <v>0</v>
      </c>
      <c r="O285" t="s">
        <v>30</v>
      </c>
      <c r="Q285" t="s">
        <v>2284</v>
      </c>
    </row>
    <row r="286" spans="1:17" x14ac:dyDescent="0.25">
      <c r="A286" t="s">
        <v>2039</v>
      </c>
      <c r="B286" t="s">
        <v>2040</v>
      </c>
      <c r="C286" t="s">
        <v>1987</v>
      </c>
      <c r="D286">
        <v>32.869999999999997</v>
      </c>
      <c r="E286">
        <v>-114.48</v>
      </c>
      <c r="G286" t="s">
        <v>1576</v>
      </c>
      <c r="K286">
        <v>0</v>
      </c>
      <c r="O286" t="s">
        <v>20</v>
      </c>
      <c r="Q286" t="s">
        <v>1988</v>
      </c>
    </row>
    <row r="287" spans="1:17" x14ac:dyDescent="0.25">
      <c r="A287" t="s">
        <v>329</v>
      </c>
      <c r="B287" t="s">
        <v>330</v>
      </c>
      <c r="C287" t="s">
        <v>37</v>
      </c>
      <c r="D287">
        <v>43.231670000000001</v>
      </c>
      <c r="E287">
        <v>-108.89444</v>
      </c>
      <c r="K287">
        <v>0</v>
      </c>
      <c r="O287" t="s">
        <v>34</v>
      </c>
      <c r="Q287" t="s">
        <v>21</v>
      </c>
    </row>
    <row r="288" spans="1:17" x14ac:dyDescent="0.25">
      <c r="A288" t="s">
        <v>1639</v>
      </c>
      <c r="B288" t="s">
        <v>1640</v>
      </c>
      <c r="C288" t="s">
        <v>410</v>
      </c>
      <c r="D288">
        <v>47.717970000000001</v>
      </c>
      <c r="E288">
        <v>-116.78418000000001</v>
      </c>
      <c r="F288">
        <v>620</v>
      </c>
      <c r="G288" t="s">
        <v>1589</v>
      </c>
      <c r="J288" t="s">
        <v>1577</v>
      </c>
      <c r="K288">
        <v>0</v>
      </c>
      <c r="L288" t="s">
        <v>1578</v>
      </c>
      <c r="O288" t="s">
        <v>151</v>
      </c>
      <c r="P288" t="s">
        <v>1585</v>
      </c>
      <c r="Q288" t="s">
        <v>1580</v>
      </c>
    </row>
    <row r="289" spans="1:17" x14ac:dyDescent="0.25">
      <c r="A289" t="s">
        <v>1652</v>
      </c>
      <c r="B289" t="s">
        <v>1653</v>
      </c>
      <c r="C289" t="s">
        <v>410</v>
      </c>
      <c r="D289">
        <v>42.077831000000003</v>
      </c>
      <c r="E289">
        <v>-110.95611</v>
      </c>
      <c r="F289">
        <v>1887</v>
      </c>
      <c r="G289" t="s">
        <v>1576</v>
      </c>
      <c r="H289" s="1">
        <v>42072</v>
      </c>
      <c r="J289" t="s">
        <v>1577</v>
      </c>
      <c r="K289">
        <v>0</v>
      </c>
      <c r="L289" t="s">
        <v>1578</v>
      </c>
      <c r="O289" t="s">
        <v>151</v>
      </c>
      <c r="P289" t="s">
        <v>1585</v>
      </c>
      <c r="Q289" t="s">
        <v>1580</v>
      </c>
    </row>
    <row r="290" spans="1:17" x14ac:dyDescent="0.25">
      <c r="A290" t="s">
        <v>400</v>
      </c>
      <c r="B290" t="s">
        <v>401</v>
      </c>
      <c r="C290" t="s">
        <v>37</v>
      </c>
      <c r="D290">
        <v>43.266669999999998</v>
      </c>
      <c r="E290">
        <v>-109.45</v>
      </c>
      <c r="F290">
        <v>9630</v>
      </c>
      <c r="K290">
        <v>0</v>
      </c>
      <c r="O290" t="s">
        <v>57</v>
      </c>
      <c r="Q290" t="s">
        <v>21</v>
      </c>
    </row>
    <row r="291" spans="1:17" x14ac:dyDescent="0.25">
      <c r="A291" t="s">
        <v>356</v>
      </c>
      <c r="B291" t="s">
        <v>357</v>
      </c>
      <c r="C291" t="s">
        <v>41</v>
      </c>
      <c r="D291">
        <v>45.2</v>
      </c>
      <c r="E291">
        <v>-109.35</v>
      </c>
      <c r="F291">
        <v>7850</v>
      </c>
      <c r="K291">
        <v>0</v>
      </c>
      <c r="O291" t="s">
        <v>57</v>
      </c>
      <c r="Q291" t="s">
        <v>21</v>
      </c>
    </row>
    <row r="292" spans="1:17" x14ac:dyDescent="0.25">
      <c r="A292" t="s">
        <v>264</v>
      </c>
      <c r="B292" t="s">
        <v>265</v>
      </c>
      <c r="C292" t="s">
        <v>19</v>
      </c>
      <c r="D292">
        <v>40.354439999999997</v>
      </c>
      <c r="E292">
        <v>-104.75972</v>
      </c>
      <c r="K292">
        <v>0</v>
      </c>
      <c r="O292" t="s">
        <v>51</v>
      </c>
      <c r="Q292" t="s">
        <v>21</v>
      </c>
    </row>
    <row r="293" spans="1:17" x14ac:dyDescent="0.25">
      <c r="A293" t="s">
        <v>2441</v>
      </c>
      <c r="B293" t="s">
        <v>2442</v>
      </c>
      <c r="C293" t="s">
        <v>1622</v>
      </c>
      <c r="D293">
        <v>37.147199999999998</v>
      </c>
      <c r="E293">
        <v>-109.8644</v>
      </c>
      <c r="F293">
        <v>0</v>
      </c>
      <c r="G293" t="s">
        <v>1576</v>
      </c>
      <c r="K293">
        <v>0</v>
      </c>
      <c r="O293" t="s">
        <v>51</v>
      </c>
      <c r="Q293" t="s">
        <v>2284</v>
      </c>
    </row>
    <row r="294" spans="1:17" x14ac:dyDescent="0.25">
      <c r="A294" t="s">
        <v>2059</v>
      </c>
      <c r="B294" t="s">
        <v>2060</v>
      </c>
      <c r="C294" t="s">
        <v>1987</v>
      </c>
      <c r="D294">
        <v>35.773600000000002</v>
      </c>
      <c r="E294">
        <v>-113.36279999999999</v>
      </c>
      <c r="G294" t="s">
        <v>1576</v>
      </c>
      <c r="K294">
        <v>0</v>
      </c>
      <c r="O294" t="s">
        <v>51</v>
      </c>
      <c r="Q294" t="s">
        <v>1988</v>
      </c>
    </row>
    <row r="295" spans="1:17" x14ac:dyDescent="0.25">
      <c r="A295" t="s">
        <v>2041</v>
      </c>
      <c r="B295" t="s">
        <v>2042</v>
      </c>
      <c r="C295" t="s">
        <v>1643</v>
      </c>
      <c r="D295">
        <v>32.883600000000001</v>
      </c>
      <c r="E295">
        <v>-114.4667</v>
      </c>
      <c r="F295">
        <v>0</v>
      </c>
      <c r="G295" t="s">
        <v>1589</v>
      </c>
      <c r="K295">
        <v>0</v>
      </c>
      <c r="O295" t="s">
        <v>51</v>
      </c>
      <c r="Q295" t="s">
        <v>1988</v>
      </c>
    </row>
    <row r="296" spans="1:17" x14ac:dyDescent="0.25">
      <c r="A296" t="s">
        <v>3439</v>
      </c>
      <c r="B296" t="s">
        <v>3440</v>
      </c>
      <c r="C296" t="s">
        <v>1643</v>
      </c>
      <c r="D296">
        <v>32.883600000000001</v>
      </c>
      <c r="E296">
        <v>-114.4667</v>
      </c>
      <c r="F296">
        <v>0</v>
      </c>
      <c r="G296" t="s">
        <v>1589</v>
      </c>
      <c r="K296">
        <v>0</v>
      </c>
      <c r="O296" t="s">
        <v>51</v>
      </c>
      <c r="Q296" t="s">
        <v>3441</v>
      </c>
    </row>
    <row r="297" spans="1:17" x14ac:dyDescent="0.25">
      <c r="A297" t="s">
        <v>3442</v>
      </c>
      <c r="B297" t="s">
        <v>3443</v>
      </c>
      <c r="C297" t="s">
        <v>1643</v>
      </c>
      <c r="D297">
        <v>32.883600000000001</v>
      </c>
      <c r="E297">
        <v>-114.4667</v>
      </c>
      <c r="F297">
        <v>0</v>
      </c>
      <c r="G297" t="s">
        <v>1589</v>
      </c>
      <c r="K297">
        <v>0</v>
      </c>
      <c r="O297" t="s">
        <v>51</v>
      </c>
      <c r="Q297" t="s">
        <v>3441</v>
      </c>
    </row>
    <row r="298" spans="1:17" x14ac:dyDescent="0.25">
      <c r="A298" t="s">
        <v>2035</v>
      </c>
      <c r="B298" t="s">
        <v>2036</v>
      </c>
      <c r="C298" t="s">
        <v>1987</v>
      </c>
      <c r="D298">
        <v>33.232199999999999</v>
      </c>
      <c r="E298">
        <v>-114.68170000000001</v>
      </c>
      <c r="F298">
        <v>214.5</v>
      </c>
      <c r="G298" t="s">
        <v>1576</v>
      </c>
      <c r="K298">
        <v>0</v>
      </c>
      <c r="O298" t="s">
        <v>51</v>
      </c>
      <c r="Q298" t="s">
        <v>1988</v>
      </c>
    </row>
    <row r="299" spans="1:17" x14ac:dyDescent="0.25">
      <c r="A299" t="s">
        <v>2443</v>
      </c>
      <c r="B299" t="s">
        <v>2444</v>
      </c>
      <c r="C299" t="s">
        <v>19</v>
      </c>
      <c r="D299">
        <v>39.549999999999997</v>
      </c>
      <c r="E299">
        <v>-107.3203</v>
      </c>
      <c r="F299">
        <v>5720.71</v>
      </c>
      <c r="G299" t="s">
        <v>1576</v>
      </c>
      <c r="K299">
        <v>0</v>
      </c>
      <c r="O299" t="s">
        <v>51</v>
      </c>
      <c r="Q299" t="s">
        <v>2284</v>
      </c>
    </row>
    <row r="300" spans="1:17" x14ac:dyDescent="0.25">
      <c r="A300" t="s">
        <v>2043</v>
      </c>
      <c r="B300" t="s">
        <v>2044</v>
      </c>
      <c r="C300" t="s">
        <v>1987</v>
      </c>
      <c r="D300">
        <v>36.864699999999999</v>
      </c>
      <c r="E300">
        <v>-111.58750000000001</v>
      </c>
      <c r="F300">
        <v>3125.06</v>
      </c>
      <c r="G300" t="s">
        <v>1576</v>
      </c>
      <c r="K300">
        <v>0</v>
      </c>
      <c r="O300" t="s">
        <v>51</v>
      </c>
      <c r="Q300" t="s">
        <v>1988</v>
      </c>
    </row>
    <row r="301" spans="1:17" x14ac:dyDescent="0.25">
      <c r="A301" t="s">
        <v>3460</v>
      </c>
      <c r="B301" t="s">
        <v>3461</v>
      </c>
      <c r="C301" t="s">
        <v>1987</v>
      </c>
      <c r="D301">
        <v>32.996400000000001</v>
      </c>
      <c r="E301">
        <v>-114.4892</v>
      </c>
      <c r="F301">
        <v>188</v>
      </c>
      <c r="G301" t="s">
        <v>1576</v>
      </c>
      <c r="K301">
        <v>0</v>
      </c>
      <c r="O301" t="s">
        <v>51</v>
      </c>
      <c r="Q301" t="s">
        <v>3441</v>
      </c>
    </row>
    <row r="302" spans="1:17" x14ac:dyDescent="0.25">
      <c r="A302" t="s">
        <v>3464</v>
      </c>
      <c r="B302" t="s">
        <v>3465</v>
      </c>
      <c r="C302" t="s">
        <v>1987</v>
      </c>
      <c r="D302">
        <v>32.718899999999998</v>
      </c>
      <c r="E302">
        <v>-114.7183</v>
      </c>
      <c r="F302">
        <v>106.5</v>
      </c>
      <c r="G302" t="s">
        <v>1576</v>
      </c>
      <c r="K302">
        <v>0</v>
      </c>
      <c r="O302" t="s">
        <v>51</v>
      </c>
      <c r="Q302" t="s">
        <v>3441</v>
      </c>
    </row>
    <row r="303" spans="1:17" x14ac:dyDescent="0.25">
      <c r="A303" t="s">
        <v>3444</v>
      </c>
      <c r="B303" t="s">
        <v>3445</v>
      </c>
      <c r="C303" t="s">
        <v>1987</v>
      </c>
      <c r="D303">
        <v>32.718899999999998</v>
      </c>
      <c r="E303">
        <v>-114.7183</v>
      </c>
      <c r="F303">
        <v>106.5</v>
      </c>
      <c r="G303" t="s">
        <v>1576</v>
      </c>
      <c r="K303">
        <v>0</v>
      </c>
      <c r="O303" t="s">
        <v>51</v>
      </c>
      <c r="Q303" t="s">
        <v>3441</v>
      </c>
    </row>
    <row r="304" spans="1:17" x14ac:dyDescent="0.25">
      <c r="A304" t="s">
        <v>3446</v>
      </c>
      <c r="B304" t="s">
        <v>3447</v>
      </c>
      <c r="C304" t="s">
        <v>1987</v>
      </c>
      <c r="D304">
        <v>32.718899999999998</v>
      </c>
      <c r="E304">
        <v>-114.7183</v>
      </c>
      <c r="F304">
        <v>106.5</v>
      </c>
      <c r="G304" t="s">
        <v>1576</v>
      </c>
      <c r="K304">
        <v>0</v>
      </c>
      <c r="O304" t="s">
        <v>51</v>
      </c>
      <c r="Q304" t="s">
        <v>3441</v>
      </c>
    </row>
    <row r="305" spans="1:17" x14ac:dyDescent="0.25">
      <c r="A305" t="s">
        <v>2207</v>
      </c>
      <c r="B305" t="s">
        <v>2208</v>
      </c>
      <c r="C305" t="s">
        <v>1643</v>
      </c>
      <c r="D305">
        <v>34.142800000000001</v>
      </c>
      <c r="E305">
        <v>-114.3189</v>
      </c>
      <c r="F305">
        <v>347.3</v>
      </c>
      <c r="G305" t="s">
        <v>1589</v>
      </c>
      <c r="K305">
        <v>0</v>
      </c>
      <c r="O305" t="s">
        <v>51</v>
      </c>
      <c r="Q305" t="s">
        <v>1988</v>
      </c>
    </row>
    <row r="306" spans="1:17" x14ac:dyDescent="0.25">
      <c r="A306" t="s">
        <v>3466</v>
      </c>
      <c r="B306" t="s">
        <v>3467</v>
      </c>
      <c r="C306" t="s">
        <v>1987</v>
      </c>
      <c r="D306">
        <v>33.022799999999997</v>
      </c>
      <c r="E306">
        <v>-114.62560000000001</v>
      </c>
      <c r="F306">
        <v>198.71</v>
      </c>
      <c r="G306" t="s">
        <v>1576</v>
      </c>
      <c r="K306">
        <v>0</v>
      </c>
      <c r="O306" t="s">
        <v>51</v>
      </c>
      <c r="Q306" t="s">
        <v>3441</v>
      </c>
    </row>
    <row r="307" spans="1:17" x14ac:dyDescent="0.25">
      <c r="A307" t="s">
        <v>2235</v>
      </c>
      <c r="B307" t="s">
        <v>2236</v>
      </c>
      <c r="C307" t="s">
        <v>1987</v>
      </c>
      <c r="D307">
        <v>34.698599999999999</v>
      </c>
      <c r="E307">
        <v>-114.46639999999999</v>
      </c>
      <c r="F307">
        <v>455.3</v>
      </c>
      <c r="G307" t="s">
        <v>1576</v>
      </c>
      <c r="K307">
        <v>0</v>
      </c>
      <c r="O307" t="s">
        <v>51</v>
      </c>
      <c r="Q307" t="s">
        <v>1988</v>
      </c>
    </row>
    <row r="308" spans="1:17" x14ac:dyDescent="0.25">
      <c r="A308" t="s">
        <v>2245</v>
      </c>
      <c r="B308" t="s">
        <v>2246</v>
      </c>
      <c r="C308" t="s">
        <v>1987</v>
      </c>
      <c r="D308">
        <v>33.450800000000001</v>
      </c>
      <c r="E308">
        <v>-114.6353</v>
      </c>
      <c r="F308">
        <v>236</v>
      </c>
      <c r="G308" t="s">
        <v>1576</v>
      </c>
      <c r="K308">
        <v>0</v>
      </c>
      <c r="O308" t="s">
        <v>51</v>
      </c>
      <c r="Q308" t="s">
        <v>1988</v>
      </c>
    </row>
    <row r="309" spans="1:17" x14ac:dyDescent="0.25">
      <c r="A309" t="s">
        <v>2257</v>
      </c>
      <c r="B309" t="s">
        <v>2258</v>
      </c>
      <c r="C309" t="s">
        <v>1987</v>
      </c>
      <c r="D309">
        <v>33.9206</v>
      </c>
      <c r="E309">
        <v>-114.5356</v>
      </c>
      <c r="F309">
        <v>305.91000000000003</v>
      </c>
      <c r="G309" t="s">
        <v>1576</v>
      </c>
      <c r="K309">
        <v>0</v>
      </c>
      <c r="O309" t="s">
        <v>51</v>
      </c>
      <c r="Q309" t="s">
        <v>1988</v>
      </c>
    </row>
    <row r="310" spans="1:17" x14ac:dyDescent="0.25">
      <c r="A310" t="s">
        <v>3450</v>
      </c>
      <c r="B310" t="s">
        <v>3451</v>
      </c>
      <c r="C310" t="s">
        <v>1987</v>
      </c>
      <c r="D310">
        <v>32.729199999999999</v>
      </c>
      <c r="E310">
        <v>-114.6208</v>
      </c>
      <c r="G310" t="s">
        <v>1576</v>
      </c>
      <c r="K310">
        <v>0</v>
      </c>
      <c r="O310" t="s">
        <v>51</v>
      </c>
      <c r="Q310" t="s">
        <v>3441</v>
      </c>
    </row>
    <row r="311" spans="1:17" x14ac:dyDescent="0.25">
      <c r="A311" t="s">
        <v>3472</v>
      </c>
      <c r="B311" t="s">
        <v>3473</v>
      </c>
      <c r="C311" t="s">
        <v>1987</v>
      </c>
      <c r="D311">
        <v>32.731900000000003</v>
      </c>
      <c r="E311">
        <v>-114.63249999999999</v>
      </c>
      <c r="F311">
        <v>117.99</v>
      </c>
      <c r="G311" t="s">
        <v>1576</v>
      </c>
      <c r="K311">
        <v>0</v>
      </c>
      <c r="O311" t="s">
        <v>51</v>
      </c>
      <c r="Q311" t="s">
        <v>3441</v>
      </c>
    </row>
    <row r="312" spans="1:17" x14ac:dyDescent="0.25">
      <c r="A312" t="s">
        <v>3448</v>
      </c>
      <c r="B312" t="s">
        <v>3449</v>
      </c>
      <c r="C312" t="s">
        <v>1987</v>
      </c>
      <c r="D312">
        <v>32.731900000000003</v>
      </c>
      <c r="E312">
        <v>-114.63249999999999</v>
      </c>
      <c r="F312">
        <v>117.99</v>
      </c>
      <c r="G312" t="s">
        <v>1576</v>
      </c>
      <c r="K312">
        <v>0</v>
      </c>
      <c r="O312" t="s">
        <v>51</v>
      </c>
      <c r="Q312" t="s">
        <v>3441</v>
      </c>
    </row>
    <row r="313" spans="1:17" x14ac:dyDescent="0.25">
      <c r="A313" t="s">
        <v>1993</v>
      </c>
      <c r="B313" t="s">
        <v>1994</v>
      </c>
      <c r="C313" t="s">
        <v>1987</v>
      </c>
      <c r="D313">
        <v>35.091700000000003</v>
      </c>
      <c r="E313">
        <v>-114.6328</v>
      </c>
      <c r="F313">
        <v>488.4</v>
      </c>
      <c r="G313" t="s">
        <v>1576</v>
      </c>
      <c r="K313">
        <v>0</v>
      </c>
      <c r="O313" t="s">
        <v>51</v>
      </c>
      <c r="Q313" t="s">
        <v>1988</v>
      </c>
    </row>
    <row r="314" spans="1:17" x14ac:dyDescent="0.25">
      <c r="A314" t="s">
        <v>2045</v>
      </c>
      <c r="B314" t="s">
        <v>2046</v>
      </c>
      <c r="C314" t="s">
        <v>1987</v>
      </c>
      <c r="D314">
        <v>35.191400000000002</v>
      </c>
      <c r="E314">
        <v>-114.5714</v>
      </c>
      <c r="G314" t="s">
        <v>1576</v>
      </c>
      <c r="K314">
        <v>0</v>
      </c>
      <c r="O314" t="s">
        <v>51</v>
      </c>
      <c r="Q314" t="s">
        <v>1988</v>
      </c>
    </row>
    <row r="315" spans="1:17" x14ac:dyDescent="0.25">
      <c r="A315" t="s">
        <v>2445</v>
      </c>
      <c r="B315" t="s">
        <v>2446</v>
      </c>
      <c r="C315" t="s">
        <v>1987</v>
      </c>
      <c r="D315">
        <v>36.101399999999998</v>
      </c>
      <c r="E315">
        <v>-112.0856</v>
      </c>
      <c r="G315" t="s">
        <v>1576</v>
      </c>
      <c r="K315">
        <v>0</v>
      </c>
      <c r="O315" t="s">
        <v>51</v>
      </c>
      <c r="Q315" t="s">
        <v>2284</v>
      </c>
    </row>
    <row r="316" spans="1:17" x14ac:dyDescent="0.25">
      <c r="A316" t="s">
        <v>382</v>
      </c>
      <c r="B316" t="s">
        <v>383</v>
      </c>
      <c r="C316" t="s">
        <v>19</v>
      </c>
      <c r="D316">
        <v>39.555</v>
      </c>
      <c r="E316">
        <v>-107.33694</v>
      </c>
      <c r="K316">
        <v>0</v>
      </c>
      <c r="O316" t="s">
        <v>51</v>
      </c>
      <c r="Q316" t="s">
        <v>21</v>
      </c>
    </row>
    <row r="317" spans="1:17" x14ac:dyDescent="0.25">
      <c r="A317" t="s">
        <v>380</v>
      </c>
      <c r="B317" t="s">
        <v>381</v>
      </c>
      <c r="C317" t="s">
        <v>19</v>
      </c>
      <c r="D317">
        <v>40.143889999999999</v>
      </c>
      <c r="E317">
        <v>-106.13306</v>
      </c>
      <c r="K317">
        <v>0</v>
      </c>
      <c r="O317" t="s">
        <v>51</v>
      </c>
      <c r="Q317" t="s">
        <v>21</v>
      </c>
    </row>
    <row r="318" spans="1:17" x14ac:dyDescent="0.25">
      <c r="A318" t="s">
        <v>2047</v>
      </c>
      <c r="B318" t="s">
        <v>2048</v>
      </c>
      <c r="C318" t="s">
        <v>1604</v>
      </c>
      <c r="D318">
        <v>36.014400000000002</v>
      </c>
      <c r="E318">
        <v>-114.7381</v>
      </c>
      <c r="G318" t="s">
        <v>1589</v>
      </c>
      <c r="K318">
        <v>0</v>
      </c>
      <c r="O318" t="s">
        <v>51</v>
      </c>
      <c r="Q318" t="s">
        <v>1988</v>
      </c>
    </row>
    <row r="319" spans="1:17" x14ac:dyDescent="0.25">
      <c r="A319" t="s">
        <v>1995</v>
      </c>
      <c r="B319" t="s">
        <v>1996</v>
      </c>
      <c r="C319" t="s">
        <v>1987</v>
      </c>
      <c r="D319">
        <v>33.6006</v>
      </c>
      <c r="E319">
        <v>-114.5497</v>
      </c>
      <c r="G319" t="s">
        <v>1576</v>
      </c>
      <c r="K319">
        <v>0</v>
      </c>
      <c r="O319" t="s">
        <v>51</v>
      </c>
      <c r="Q319" t="s">
        <v>1988</v>
      </c>
    </row>
    <row r="320" spans="1:17" x14ac:dyDescent="0.25">
      <c r="A320" t="s">
        <v>3458</v>
      </c>
      <c r="B320" t="s">
        <v>3459</v>
      </c>
      <c r="C320" t="s">
        <v>1987</v>
      </c>
      <c r="D320">
        <v>32.812199999999997</v>
      </c>
      <c r="E320">
        <v>-114.5142</v>
      </c>
      <c r="F320">
        <v>130.1</v>
      </c>
      <c r="G320" t="s">
        <v>1576</v>
      </c>
      <c r="K320">
        <v>0</v>
      </c>
      <c r="O320" t="s">
        <v>51</v>
      </c>
      <c r="Q320" t="s">
        <v>3441</v>
      </c>
    </row>
    <row r="321" spans="1:17" x14ac:dyDescent="0.25">
      <c r="A321" t="s">
        <v>2049</v>
      </c>
      <c r="B321" t="s">
        <v>2050</v>
      </c>
      <c r="C321" t="s">
        <v>1987</v>
      </c>
      <c r="D321">
        <v>32.812199999999997</v>
      </c>
      <c r="E321">
        <v>-114.5142</v>
      </c>
      <c r="G321" t="s">
        <v>1576</v>
      </c>
      <c r="K321">
        <v>0</v>
      </c>
      <c r="O321" t="s">
        <v>51</v>
      </c>
      <c r="Q321" t="s">
        <v>1988</v>
      </c>
    </row>
    <row r="322" spans="1:17" x14ac:dyDescent="0.25">
      <c r="A322" t="s">
        <v>2001</v>
      </c>
      <c r="B322" t="s">
        <v>2002</v>
      </c>
      <c r="C322" t="s">
        <v>1987</v>
      </c>
      <c r="D322">
        <v>33.516399999999997</v>
      </c>
      <c r="E322">
        <v>-114.5692</v>
      </c>
      <c r="G322" t="s">
        <v>1576</v>
      </c>
      <c r="K322">
        <v>0</v>
      </c>
      <c r="O322" t="s">
        <v>51</v>
      </c>
      <c r="Q322" t="s">
        <v>1988</v>
      </c>
    </row>
    <row r="323" spans="1:17" x14ac:dyDescent="0.25">
      <c r="A323" t="s">
        <v>2003</v>
      </c>
      <c r="B323" t="s">
        <v>2004</v>
      </c>
      <c r="C323" t="s">
        <v>1643</v>
      </c>
      <c r="D323">
        <v>34.818100000000001</v>
      </c>
      <c r="E323">
        <v>-114.5908</v>
      </c>
      <c r="G323" t="s">
        <v>1589</v>
      </c>
      <c r="K323">
        <v>0</v>
      </c>
      <c r="O323" t="s">
        <v>51</v>
      </c>
      <c r="Q323" t="s">
        <v>1988</v>
      </c>
    </row>
    <row r="324" spans="1:17" x14ac:dyDescent="0.25">
      <c r="A324" t="s">
        <v>2005</v>
      </c>
      <c r="B324" t="s">
        <v>2006</v>
      </c>
      <c r="C324" t="s">
        <v>1987</v>
      </c>
      <c r="D324">
        <v>33.368299999999998</v>
      </c>
      <c r="E324">
        <v>-114.7264</v>
      </c>
      <c r="G324" t="s">
        <v>1576</v>
      </c>
      <c r="K324">
        <v>0</v>
      </c>
      <c r="O324" t="s">
        <v>51</v>
      </c>
      <c r="Q324" t="s">
        <v>1988</v>
      </c>
    </row>
    <row r="325" spans="1:17" x14ac:dyDescent="0.25">
      <c r="A325" t="s">
        <v>2229</v>
      </c>
      <c r="B325" t="s">
        <v>2230</v>
      </c>
      <c r="C325" t="s">
        <v>1987</v>
      </c>
      <c r="D325">
        <v>33.731900000000003</v>
      </c>
      <c r="E325">
        <v>-114.4978</v>
      </c>
      <c r="F325">
        <v>271.89999999999998</v>
      </c>
      <c r="G325" t="s">
        <v>1576</v>
      </c>
      <c r="K325">
        <v>0</v>
      </c>
      <c r="O325" t="s">
        <v>51</v>
      </c>
      <c r="Q325" t="s">
        <v>1988</v>
      </c>
    </row>
    <row r="326" spans="1:17" x14ac:dyDescent="0.25">
      <c r="A326" t="s">
        <v>2051</v>
      </c>
      <c r="B326" t="s">
        <v>2052</v>
      </c>
      <c r="C326" t="s">
        <v>1987</v>
      </c>
      <c r="D326">
        <v>32.731699999999996</v>
      </c>
      <c r="E326">
        <v>-114.6319</v>
      </c>
      <c r="F326">
        <v>101.99</v>
      </c>
      <c r="G326" t="s">
        <v>1576</v>
      </c>
      <c r="K326">
        <v>0</v>
      </c>
      <c r="O326" t="s">
        <v>51</v>
      </c>
      <c r="Q326" t="s">
        <v>1988</v>
      </c>
    </row>
    <row r="327" spans="1:17" x14ac:dyDescent="0.25">
      <c r="A327" t="s">
        <v>2447</v>
      </c>
      <c r="B327" t="s">
        <v>2448</v>
      </c>
      <c r="C327" t="s">
        <v>19</v>
      </c>
      <c r="D327">
        <v>39.099400000000003</v>
      </c>
      <c r="E327">
        <v>-108.3575</v>
      </c>
      <c r="G327" t="s">
        <v>1576</v>
      </c>
      <c r="K327">
        <v>0</v>
      </c>
      <c r="O327" t="s">
        <v>51</v>
      </c>
      <c r="Q327" t="s">
        <v>2284</v>
      </c>
    </row>
    <row r="328" spans="1:17" x14ac:dyDescent="0.25">
      <c r="A328" t="s">
        <v>2053</v>
      </c>
      <c r="B328" t="s">
        <v>2054</v>
      </c>
      <c r="C328" t="s">
        <v>1987</v>
      </c>
      <c r="D328">
        <v>34.18</v>
      </c>
      <c r="E328">
        <v>-114.28</v>
      </c>
      <c r="G328" t="s">
        <v>1576</v>
      </c>
      <c r="K328">
        <v>0</v>
      </c>
      <c r="O328" t="s">
        <v>20</v>
      </c>
      <c r="Q328" t="s">
        <v>1988</v>
      </c>
    </row>
    <row r="329" spans="1:17" x14ac:dyDescent="0.25">
      <c r="A329" t="s">
        <v>2055</v>
      </c>
      <c r="B329" t="s">
        <v>2056</v>
      </c>
      <c r="C329" t="s">
        <v>1643</v>
      </c>
      <c r="D329">
        <v>34.799999999999997</v>
      </c>
      <c r="E329">
        <v>-114.5</v>
      </c>
      <c r="G329" t="s">
        <v>1589</v>
      </c>
      <c r="K329">
        <v>0</v>
      </c>
      <c r="O329" t="s">
        <v>20</v>
      </c>
      <c r="Q329" t="s">
        <v>1988</v>
      </c>
    </row>
    <row r="330" spans="1:17" x14ac:dyDescent="0.25">
      <c r="A330" t="s">
        <v>374</v>
      </c>
      <c r="B330" t="s">
        <v>375</v>
      </c>
      <c r="C330" t="s">
        <v>19</v>
      </c>
      <c r="D330">
        <v>39.238889999999998</v>
      </c>
      <c r="E330">
        <v>-108.26667</v>
      </c>
      <c r="K330">
        <v>0</v>
      </c>
      <c r="O330" t="s">
        <v>51</v>
      </c>
      <c r="Q330" t="s">
        <v>21</v>
      </c>
    </row>
    <row r="331" spans="1:17" x14ac:dyDescent="0.25">
      <c r="A331" t="s">
        <v>2449</v>
      </c>
      <c r="B331" t="s">
        <v>2450</v>
      </c>
      <c r="C331" t="s">
        <v>19</v>
      </c>
      <c r="D331">
        <v>39.238900000000001</v>
      </c>
      <c r="E331">
        <v>-108.2667</v>
      </c>
      <c r="F331">
        <v>4813.7299999999996</v>
      </c>
      <c r="G331" t="s">
        <v>1576</v>
      </c>
      <c r="K331">
        <v>0</v>
      </c>
      <c r="O331" t="s">
        <v>51</v>
      </c>
      <c r="Q331" t="s">
        <v>2284</v>
      </c>
    </row>
    <row r="332" spans="1:17" x14ac:dyDescent="0.25">
      <c r="A332" t="s">
        <v>2451</v>
      </c>
      <c r="B332" t="s">
        <v>2452</v>
      </c>
      <c r="C332" t="s">
        <v>1622</v>
      </c>
      <c r="D332">
        <v>38.810600000000001</v>
      </c>
      <c r="E332">
        <v>-109.29349999999999</v>
      </c>
      <c r="F332">
        <v>4090</v>
      </c>
      <c r="G332" t="s">
        <v>1576</v>
      </c>
      <c r="K332">
        <v>0</v>
      </c>
      <c r="O332" t="s">
        <v>51</v>
      </c>
      <c r="Q332" t="s">
        <v>2284</v>
      </c>
    </row>
    <row r="333" spans="1:17" x14ac:dyDescent="0.25">
      <c r="A333" t="s">
        <v>2453</v>
      </c>
      <c r="B333" t="s">
        <v>2454</v>
      </c>
      <c r="C333" t="s">
        <v>19</v>
      </c>
      <c r="D333">
        <v>39.132800000000003</v>
      </c>
      <c r="E333">
        <v>-109.0264</v>
      </c>
      <c r="F333">
        <v>4325</v>
      </c>
      <c r="G333" t="s">
        <v>1576</v>
      </c>
      <c r="K333">
        <v>0</v>
      </c>
      <c r="O333" t="s">
        <v>51</v>
      </c>
      <c r="Q333" t="s">
        <v>2284</v>
      </c>
    </row>
    <row r="334" spans="1:17" x14ac:dyDescent="0.25">
      <c r="A334" t="s">
        <v>392</v>
      </c>
      <c r="B334" t="s">
        <v>393</v>
      </c>
      <c r="C334" t="s">
        <v>19</v>
      </c>
      <c r="D334">
        <v>39.132770000000001</v>
      </c>
      <c r="E334">
        <v>-109.02639000000001</v>
      </c>
      <c r="K334">
        <v>0</v>
      </c>
      <c r="O334" t="s">
        <v>51</v>
      </c>
      <c r="Q334" t="s">
        <v>21</v>
      </c>
    </row>
    <row r="335" spans="1:17" x14ac:dyDescent="0.25">
      <c r="A335" t="s">
        <v>378</v>
      </c>
      <c r="B335" t="s">
        <v>379</v>
      </c>
      <c r="C335" t="s">
        <v>19</v>
      </c>
      <c r="D335">
        <v>39.643889999999999</v>
      </c>
      <c r="E335">
        <v>-107.07722</v>
      </c>
      <c r="K335">
        <v>0</v>
      </c>
      <c r="O335" t="s">
        <v>51</v>
      </c>
      <c r="Q335" t="s">
        <v>21</v>
      </c>
    </row>
    <row r="336" spans="1:17" x14ac:dyDescent="0.25">
      <c r="A336" t="s">
        <v>388</v>
      </c>
      <c r="B336" t="s">
        <v>389</v>
      </c>
      <c r="C336" t="s">
        <v>19</v>
      </c>
      <c r="D336">
        <v>40.120829999999998</v>
      </c>
      <c r="E336">
        <v>-105.9</v>
      </c>
      <c r="K336">
        <v>0</v>
      </c>
      <c r="O336" t="s">
        <v>51</v>
      </c>
      <c r="Q336" t="s">
        <v>21</v>
      </c>
    </row>
    <row r="337" spans="1:17" x14ac:dyDescent="0.25">
      <c r="A337" t="s">
        <v>2057</v>
      </c>
      <c r="B337" t="s">
        <v>2058</v>
      </c>
      <c r="C337" t="s">
        <v>1987</v>
      </c>
      <c r="D337">
        <v>36.101399999999998</v>
      </c>
      <c r="E337">
        <v>-112.0856</v>
      </c>
      <c r="F337">
        <v>2444.4</v>
      </c>
      <c r="G337" t="s">
        <v>1576</v>
      </c>
      <c r="K337">
        <v>0</v>
      </c>
      <c r="O337" t="s">
        <v>51</v>
      </c>
      <c r="Q337" t="s">
        <v>1988</v>
      </c>
    </row>
    <row r="338" spans="1:17" x14ac:dyDescent="0.25">
      <c r="A338" t="s">
        <v>384</v>
      </c>
      <c r="B338" t="s">
        <v>385</v>
      </c>
      <c r="C338" t="s">
        <v>19</v>
      </c>
      <c r="D338">
        <v>40.036670000000001</v>
      </c>
      <c r="E338">
        <v>-106.43944999999999</v>
      </c>
      <c r="K338">
        <v>0</v>
      </c>
      <c r="O338" t="s">
        <v>51</v>
      </c>
      <c r="Q338" t="s">
        <v>21</v>
      </c>
    </row>
    <row r="339" spans="1:17" x14ac:dyDescent="0.25">
      <c r="A339" t="s">
        <v>390</v>
      </c>
      <c r="B339" t="s">
        <v>391</v>
      </c>
      <c r="C339" t="s">
        <v>19</v>
      </c>
      <c r="D339">
        <v>39.099440000000001</v>
      </c>
      <c r="E339">
        <v>-108.3575</v>
      </c>
      <c r="K339">
        <v>0</v>
      </c>
      <c r="O339" t="s">
        <v>51</v>
      </c>
      <c r="Q339" t="s">
        <v>21</v>
      </c>
    </row>
    <row r="340" spans="1:17" x14ac:dyDescent="0.25">
      <c r="A340" t="s">
        <v>2457</v>
      </c>
      <c r="B340" t="s">
        <v>2458</v>
      </c>
      <c r="C340" t="s">
        <v>19</v>
      </c>
      <c r="D340">
        <v>40.4</v>
      </c>
      <c r="E340">
        <v>-106.6</v>
      </c>
      <c r="F340">
        <v>9160</v>
      </c>
      <c r="G340" t="s">
        <v>1576</v>
      </c>
      <c r="K340">
        <v>0</v>
      </c>
      <c r="O340" t="s">
        <v>57</v>
      </c>
      <c r="Q340" t="s">
        <v>2284</v>
      </c>
    </row>
    <row r="341" spans="1:17" x14ac:dyDescent="0.25">
      <c r="A341" t="s">
        <v>376</v>
      </c>
      <c r="B341" t="s">
        <v>377</v>
      </c>
      <c r="C341" t="s">
        <v>19</v>
      </c>
      <c r="D341">
        <v>39.373609999999999</v>
      </c>
      <c r="E341">
        <v>-106.22723000000001</v>
      </c>
      <c r="K341">
        <v>0</v>
      </c>
      <c r="O341" t="s">
        <v>34</v>
      </c>
      <c r="Q341" t="s">
        <v>21</v>
      </c>
    </row>
    <row r="342" spans="1:17" x14ac:dyDescent="0.25">
      <c r="A342" t="s">
        <v>2455</v>
      </c>
      <c r="B342" t="s">
        <v>2456</v>
      </c>
      <c r="C342" t="s">
        <v>19</v>
      </c>
      <c r="D342">
        <v>38.416699999999999</v>
      </c>
      <c r="E342">
        <v>-108.38330000000001</v>
      </c>
      <c r="F342">
        <v>9400</v>
      </c>
      <c r="G342" t="s">
        <v>1576</v>
      </c>
      <c r="K342">
        <v>0</v>
      </c>
      <c r="O342" t="s">
        <v>57</v>
      </c>
      <c r="Q342" t="s">
        <v>2284</v>
      </c>
    </row>
    <row r="343" spans="1:17" x14ac:dyDescent="0.25">
      <c r="A343" t="s">
        <v>386</v>
      </c>
      <c r="B343" t="s">
        <v>387</v>
      </c>
      <c r="C343" t="s">
        <v>19</v>
      </c>
      <c r="D343">
        <v>40.4</v>
      </c>
      <c r="E343">
        <v>-106.61667</v>
      </c>
      <c r="F343">
        <v>9165</v>
      </c>
      <c r="K343">
        <v>0</v>
      </c>
      <c r="O343" t="s">
        <v>57</v>
      </c>
      <c r="Q343" t="s">
        <v>21</v>
      </c>
    </row>
    <row r="344" spans="1:17" x14ac:dyDescent="0.25">
      <c r="A344" t="s">
        <v>2459</v>
      </c>
      <c r="B344" t="s">
        <v>2460</v>
      </c>
      <c r="C344" t="s">
        <v>19</v>
      </c>
      <c r="D344">
        <v>37.433300000000003</v>
      </c>
      <c r="E344">
        <v>-108.0167</v>
      </c>
      <c r="F344">
        <v>10785</v>
      </c>
      <c r="G344" t="s">
        <v>1576</v>
      </c>
      <c r="K344">
        <v>0</v>
      </c>
      <c r="O344" t="s">
        <v>57</v>
      </c>
      <c r="Q344" t="s">
        <v>2284</v>
      </c>
    </row>
    <row r="345" spans="1:17" x14ac:dyDescent="0.25">
      <c r="A345" t="s">
        <v>2461</v>
      </c>
      <c r="B345" t="s">
        <v>2462</v>
      </c>
      <c r="C345" t="s">
        <v>19</v>
      </c>
      <c r="D345">
        <v>37.354999999999997</v>
      </c>
      <c r="E345">
        <v>-106.5436</v>
      </c>
      <c r="G345" t="s">
        <v>1576</v>
      </c>
      <c r="K345">
        <v>0</v>
      </c>
      <c r="O345" t="s">
        <v>51</v>
      </c>
      <c r="Q345" t="s">
        <v>2284</v>
      </c>
    </row>
    <row r="346" spans="1:17" x14ac:dyDescent="0.25">
      <c r="A346" t="s">
        <v>2463</v>
      </c>
      <c r="B346" t="s">
        <v>2464</v>
      </c>
      <c r="C346" t="s">
        <v>19</v>
      </c>
      <c r="D346">
        <v>37.053899999999999</v>
      </c>
      <c r="E346">
        <v>-106.18689999999999</v>
      </c>
      <c r="G346" t="s">
        <v>1576</v>
      </c>
      <c r="K346">
        <v>0</v>
      </c>
      <c r="O346" t="s">
        <v>51</v>
      </c>
      <c r="Q346" t="s">
        <v>2284</v>
      </c>
    </row>
    <row r="347" spans="1:17" x14ac:dyDescent="0.25">
      <c r="A347" t="s">
        <v>394</v>
      </c>
      <c r="B347" t="s">
        <v>395</v>
      </c>
      <c r="C347" t="s">
        <v>41</v>
      </c>
      <c r="D347">
        <v>48.172780000000003</v>
      </c>
      <c r="E347">
        <v>-111.84721999999999</v>
      </c>
      <c r="F347">
        <v>3520</v>
      </c>
      <c r="K347">
        <v>0</v>
      </c>
      <c r="O347" t="s">
        <v>151</v>
      </c>
      <c r="Q347" t="s">
        <v>21</v>
      </c>
    </row>
    <row r="348" spans="1:17" x14ac:dyDescent="0.25">
      <c r="A348" t="s">
        <v>3483</v>
      </c>
      <c r="B348" t="s">
        <v>3484</v>
      </c>
      <c r="C348" t="s">
        <v>1643</v>
      </c>
      <c r="D348">
        <v>37.883299999999998</v>
      </c>
      <c r="E348">
        <v>-121.577</v>
      </c>
      <c r="F348">
        <v>0</v>
      </c>
      <c r="G348" t="s">
        <v>1589</v>
      </c>
      <c r="K348">
        <v>0</v>
      </c>
      <c r="O348" t="s">
        <v>20</v>
      </c>
      <c r="Q348" t="s">
        <v>3478</v>
      </c>
    </row>
    <row r="349" spans="1:17" x14ac:dyDescent="0.25">
      <c r="A349" t="s">
        <v>398</v>
      </c>
      <c r="B349" t="s">
        <v>399</v>
      </c>
      <c r="C349" t="s">
        <v>19</v>
      </c>
      <c r="D349">
        <v>40.200000000000003</v>
      </c>
      <c r="E349">
        <v>-105.56667</v>
      </c>
      <c r="F349">
        <v>8550</v>
      </c>
      <c r="K349">
        <v>0</v>
      </c>
      <c r="O349" t="s">
        <v>57</v>
      </c>
      <c r="Q349" t="s">
        <v>21</v>
      </c>
    </row>
    <row r="350" spans="1:17" x14ac:dyDescent="0.25">
      <c r="A350" t="s">
        <v>402</v>
      </c>
      <c r="B350" t="s">
        <v>403</v>
      </c>
      <c r="C350" t="s">
        <v>41</v>
      </c>
      <c r="D350">
        <v>47.083329999999997</v>
      </c>
      <c r="E350">
        <v>-112.73333</v>
      </c>
      <c r="F350">
        <v>6950</v>
      </c>
      <c r="K350">
        <v>0</v>
      </c>
      <c r="O350" t="s">
        <v>57</v>
      </c>
      <c r="Q350" t="s">
        <v>21</v>
      </c>
    </row>
    <row r="351" spans="1:17" x14ac:dyDescent="0.25">
      <c r="A351" t="s">
        <v>2465</v>
      </c>
      <c r="B351" t="s">
        <v>2466</v>
      </c>
      <c r="C351" t="s">
        <v>19</v>
      </c>
      <c r="D351">
        <v>39.4833</v>
      </c>
      <c r="E351">
        <v>-106.16670000000001</v>
      </c>
      <c r="F351">
        <v>10500</v>
      </c>
      <c r="G351" t="s">
        <v>1576</v>
      </c>
      <c r="K351">
        <v>0</v>
      </c>
      <c r="O351" t="s">
        <v>57</v>
      </c>
      <c r="Q351" t="s">
        <v>2284</v>
      </c>
    </row>
    <row r="352" spans="1:17" x14ac:dyDescent="0.25">
      <c r="A352" t="s">
        <v>406</v>
      </c>
      <c r="B352" t="s">
        <v>407</v>
      </c>
      <c r="C352" t="s">
        <v>19</v>
      </c>
      <c r="D352">
        <v>39.483330000000002</v>
      </c>
      <c r="E352">
        <v>-106.16665999999999</v>
      </c>
      <c r="F352">
        <v>10500</v>
      </c>
      <c r="K352">
        <v>0</v>
      </c>
      <c r="O352" t="s">
        <v>57</v>
      </c>
      <c r="Q352" t="s">
        <v>21</v>
      </c>
    </row>
    <row r="353" spans="1:17" x14ac:dyDescent="0.25">
      <c r="A353" t="s">
        <v>1654</v>
      </c>
      <c r="B353" t="s">
        <v>1655</v>
      </c>
      <c r="C353" t="s">
        <v>41</v>
      </c>
      <c r="D353">
        <v>46.333329999999997</v>
      </c>
      <c r="E353">
        <v>-114.08333</v>
      </c>
      <c r="F353">
        <v>1096.3699999999999</v>
      </c>
      <c r="G353" t="s">
        <v>1576</v>
      </c>
      <c r="H353" s="1">
        <v>30773</v>
      </c>
      <c r="J353" t="s">
        <v>1577</v>
      </c>
      <c r="K353">
        <v>0</v>
      </c>
      <c r="L353" t="s">
        <v>1578</v>
      </c>
      <c r="O353" t="s">
        <v>151</v>
      </c>
      <c r="P353" t="s">
        <v>1585</v>
      </c>
      <c r="Q353" t="s">
        <v>1580</v>
      </c>
    </row>
    <row r="354" spans="1:17" x14ac:dyDescent="0.25">
      <c r="A354" t="s">
        <v>1660</v>
      </c>
      <c r="B354" t="s">
        <v>1661</v>
      </c>
      <c r="C354" t="s">
        <v>1588</v>
      </c>
      <c r="D354">
        <v>44.634160000000001</v>
      </c>
      <c r="E354">
        <v>-123.19</v>
      </c>
      <c r="F354">
        <v>70.099999999999994</v>
      </c>
      <c r="G354" t="s">
        <v>1589</v>
      </c>
      <c r="H354" s="1">
        <v>32905</v>
      </c>
      <c r="J354" t="s">
        <v>1577</v>
      </c>
      <c r="K354">
        <v>0</v>
      </c>
      <c r="L354" t="s">
        <v>1578</v>
      </c>
      <c r="O354" t="s">
        <v>151</v>
      </c>
      <c r="P354" t="s">
        <v>1585</v>
      </c>
      <c r="Q354" t="s">
        <v>1580</v>
      </c>
    </row>
    <row r="355" spans="1:17" x14ac:dyDescent="0.25">
      <c r="A355" t="s">
        <v>2467</v>
      </c>
      <c r="B355" t="s">
        <v>2468</v>
      </c>
      <c r="C355" t="s">
        <v>2283</v>
      </c>
      <c r="D355">
        <v>36.897799999999997</v>
      </c>
      <c r="E355">
        <v>-105.2559</v>
      </c>
      <c r="G355" t="s">
        <v>1576</v>
      </c>
      <c r="K355">
        <v>0</v>
      </c>
      <c r="O355" t="s">
        <v>51</v>
      </c>
      <c r="Q355" t="s">
        <v>2284</v>
      </c>
    </row>
    <row r="356" spans="1:17" x14ac:dyDescent="0.25">
      <c r="A356" t="s">
        <v>2469</v>
      </c>
      <c r="B356" t="s">
        <v>2470</v>
      </c>
      <c r="C356" t="s">
        <v>2283</v>
      </c>
      <c r="D356">
        <v>36.873899999999999</v>
      </c>
      <c r="E356">
        <v>-105.2809</v>
      </c>
      <c r="G356" t="s">
        <v>1576</v>
      </c>
      <c r="K356">
        <v>0</v>
      </c>
      <c r="O356" t="s">
        <v>51</v>
      </c>
      <c r="Q356" t="s">
        <v>2284</v>
      </c>
    </row>
    <row r="357" spans="1:17" x14ac:dyDescent="0.25">
      <c r="A357" t="s">
        <v>2471</v>
      </c>
      <c r="B357" t="s">
        <v>2472</v>
      </c>
      <c r="C357" t="s">
        <v>2283</v>
      </c>
      <c r="D357">
        <v>36.966900000000003</v>
      </c>
      <c r="E357">
        <v>-105.508</v>
      </c>
      <c r="G357" t="s">
        <v>1576</v>
      </c>
      <c r="K357">
        <v>0</v>
      </c>
      <c r="O357" t="s">
        <v>51</v>
      </c>
      <c r="Q357" t="s">
        <v>2284</v>
      </c>
    </row>
    <row r="358" spans="1:17" x14ac:dyDescent="0.25">
      <c r="A358" t="s">
        <v>2473</v>
      </c>
      <c r="B358" t="s">
        <v>2474</v>
      </c>
      <c r="C358" t="s">
        <v>2283</v>
      </c>
      <c r="D358">
        <v>36.989199999999997</v>
      </c>
      <c r="E358">
        <v>-105.5329</v>
      </c>
      <c r="G358" t="s">
        <v>1576</v>
      </c>
      <c r="K358">
        <v>0</v>
      </c>
      <c r="O358" t="s">
        <v>51</v>
      </c>
      <c r="Q358" t="s">
        <v>2284</v>
      </c>
    </row>
    <row r="359" spans="1:17" x14ac:dyDescent="0.25">
      <c r="A359" t="s">
        <v>2475</v>
      </c>
      <c r="B359" t="s">
        <v>2476</v>
      </c>
      <c r="C359" t="s">
        <v>1622</v>
      </c>
      <c r="D359">
        <v>37.560600000000001</v>
      </c>
      <c r="E359">
        <v>-109.57810000000001</v>
      </c>
      <c r="F359">
        <v>5137.7299999999996</v>
      </c>
      <c r="G359" t="s">
        <v>1576</v>
      </c>
      <c r="K359">
        <v>0</v>
      </c>
      <c r="O359" t="s">
        <v>51</v>
      </c>
      <c r="Q359" t="s">
        <v>2284</v>
      </c>
    </row>
    <row r="360" spans="1:17" x14ac:dyDescent="0.25">
      <c r="A360" t="s">
        <v>853</v>
      </c>
      <c r="B360" t="s">
        <v>854</v>
      </c>
      <c r="C360" t="s">
        <v>44</v>
      </c>
      <c r="D360">
        <v>39.905560000000001</v>
      </c>
      <c r="E360">
        <v>-98.025000000000006</v>
      </c>
      <c r="K360">
        <v>0</v>
      </c>
      <c r="O360" t="s">
        <v>20</v>
      </c>
      <c r="Q360" t="s">
        <v>21</v>
      </c>
    </row>
    <row r="361" spans="1:17" x14ac:dyDescent="0.25">
      <c r="A361" t="s">
        <v>320</v>
      </c>
      <c r="B361" t="s">
        <v>321</v>
      </c>
      <c r="C361" t="s">
        <v>26</v>
      </c>
      <c r="D361">
        <v>40.059719999999999</v>
      </c>
      <c r="E361">
        <v>-98.369169999999997</v>
      </c>
      <c r="K361">
        <v>0</v>
      </c>
      <c r="O361" t="s">
        <v>34</v>
      </c>
      <c r="Q361" t="s">
        <v>21</v>
      </c>
    </row>
    <row r="362" spans="1:17" x14ac:dyDescent="0.25">
      <c r="A362" t="s">
        <v>396</v>
      </c>
      <c r="B362" t="s">
        <v>397</v>
      </c>
      <c r="C362" t="s">
        <v>26</v>
      </c>
      <c r="D362">
        <v>40.003059999999998</v>
      </c>
      <c r="E362">
        <v>-98.132779999999997</v>
      </c>
      <c r="K362">
        <v>0</v>
      </c>
      <c r="O362" t="s">
        <v>34</v>
      </c>
      <c r="Q362" t="s">
        <v>21</v>
      </c>
    </row>
    <row r="363" spans="1:17" x14ac:dyDescent="0.25">
      <c r="A363" t="s">
        <v>2477</v>
      </c>
      <c r="B363" t="s">
        <v>2478</v>
      </c>
      <c r="C363" t="s">
        <v>19</v>
      </c>
      <c r="D363">
        <v>38.244999999999997</v>
      </c>
      <c r="E363">
        <v>-107.75109999999999</v>
      </c>
      <c r="F363">
        <v>6692</v>
      </c>
      <c r="G363" t="s">
        <v>1576</v>
      </c>
      <c r="K363">
        <v>0</v>
      </c>
      <c r="O363" t="s">
        <v>51</v>
      </c>
      <c r="Q363" t="s">
        <v>2284</v>
      </c>
    </row>
    <row r="364" spans="1:17" x14ac:dyDescent="0.25">
      <c r="A364" t="s">
        <v>408</v>
      </c>
      <c r="B364" t="s">
        <v>409</v>
      </c>
      <c r="C364" t="s">
        <v>410</v>
      </c>
      <c r="D364">
        <v>44.416670000000003</v>
      </c>
      <c r="E364">
        <v>-112</v>
      </c>
      <c r="F364">
        <v>6860</v>
      </c>
      <c r="K364">
        <v>0</v>
      </c>
      <c r="O364" t="s">
        <v>57</v>
      </c>
      <c r="Q364" t="s">
        <v>21</v>
      </c>
    </row>
    <row r="365" spans="1:17" x14ac:dyDescent="0.25">
      <c r="A365" t="s">
        <v>2479</v>
      </c>
      <c r="B365" t="s">
        <v>2480</v>
      </c>
      <c r="C365" t="s">
        <v>19</v>
      </c>
      <c r="D365">
        <v>38.691400000000002</v>
      </c>
      <c r="E365">
        <v>-107.6056</v>
      </c>
      <c r="F365">
        <v>6553</v>
      </c>
      <c r="G365" t="s">
        <v>1576</v>
      </c>
      <c r="K365">
        <v>0</v>
      </c>
      <c r="O365" t="s">
        <v>30</v>
      </c>
      <c r="Q365" t="s">
        <v>2284</v>
      </c>
    </row>
    <row r="366" spans="1:17" x14ac:dyDescent="0.25">
      <c r="A366" t="s">
        <v>1658</v>
      </c>
      <c r="B366" t="s">
        <v>1659</v>
      </c>
      <c r="C366" t="s">
        <v>41</v>
      </c>
      <c r="D366">
        <v>48.1875</v>
      </c>
      <c r="E366">
        <v>-114.12777</v>
      </c>
      <c r="F366">
        <v>899.16</v>
      </c>
      <c r="G366" t="s">
        <v>1576</v>
      </c>
      <c r="H366" s="1">
        <v>32234</v>
      </c>
      <c r="J366" t="s">
        <v>1577</v>
      </c>
      <c r="K366">
        <v>0</v>
      </c>
      <c r="L366" t="s">
        <v>1578</v>
      </c>
      <c r="O366" t="s">
        <v>151</v>
      </c>
      <c r="P366" t="s">
        <v>1585</v>
      </c>
      <c r="Q366" t="s">
        <v>1580</v>
      </c>
    </row>
    <row r="367" spans="1:17" x14ac:dyDescent="0.25">
      <c r="A367" t="s">
        <v>2061</v>
      </c>
      <c r="B367" t="s">
        <v>2062</v>
      </c>
      <c r="C367" t="s">
        <v>1987</v>
      </c>
      <c r="D367">
        <v>34.1678</v>
      </c>
      <c r="E367">
        <v>-114.2758</v>
      </c>
      <c r="G367" t="s">
        <v>1576</v>
      </c>
      <c r="K367">
        <v>0</v>
      </c>
      <c r="O367" t="s">
        <v>20</v>
      </c>
      <c r="Q367" t="s">
        <v>1988</v>
      </c>
    </row>
    <row r="368" spans="1:17" x14ac:dyDescent="0.25">
      <c r="A368" t="s">
        <v>2123</v>
      </c>
      <c r="B368" t="s">
        <v>2124</v>
      </c>
      <c r="C368" t="s">
        <v>1987</v>
      </c>
      <c r="D368">
        <v>34.006100000000004</v>
      </c>
      <c r="E368">
        <v>-114.4222</v>
      </c>
      <c r="F368">
        <v>347.3</v>
      </c>
      <c r="G368" t="s">
        <v>1576</v>
      </c>
      <c r="K368">
        <v>0</v>
      </c>
      <c r="O368" t="s">
        <v>34</v>
      </c>
      <c r="Q368" t="s">
        <v>1988</v>
      </c>
    </row>
    <row r="369" spans="1:17" x14ac:dyDescent="0.25">
      <c r="A369" t="s">
        <v>2481</v>
      </c>
      <c r="B369" t="s">
        <v>2482</v>
      </c>
      <c r="C369" t="s">
        <v>19</v>
      </c>
      <c r="D369">
        <v>40.166699999999999</v>
      </c>
      <c r="E369">
        <v>-107.05</v>
      </c>
      <c r="F369">
        <v>9100</v>
      </c>
      <c r="G369" t="s">
        <v>1576</v>
      </c>
      <c r="K369">
        <v>0</v>
      </c>
      <c r="O369" t="s">
        <v>57</v>
      </c>
      <c r="Q369" t="s">
        <v>2284</v>
      </c>
    </row>
    <row r="370" spans="1:17" x14ac:dyDescent="0.25">
      <c r="A370" t="s">
        <v>415</v>
      </c>
      <c r="B370" t="s">
        <v>416</v>
      </c>
      <c r="C370" t="s">
        <v>37</v>
      </c>
      <c r="D370">
        <v>41.233330000000002</v>
      </c>
      <c r="E370">
        <v>-105.38333</v>
      </c>
      <c r="F370">
        <v>8330</v>
      </c>
      <c r="K370">
        <v>0</v>
      </c>
      <c r="O370" t="s">
        <v>57</v>
      </c>
      <c r="Q370" t="s">
        <v>21</v>
      </c>
    </row>
    <row r="371" spans="1:17" x14ac:dyDescent="0.25">
      <c r="A371" t="s">
        <v>419</v>
      </c>
      <c r="B371" t="s">
        <v>420</v>
      </c>
      <c r="C371" t="s">
        <v>41</v>
      </c>
      <c r="D371">
        <v>46.8</v>
      </c>
      <c r="E371">
        <v>-109.5</v>
      </c>
      <c r="F371">
        <v>6050</v>
      </c>
      <c r="K371">
        <v>0</v>
      </c>
      <c r="O371" t="s">
        <v>57</v>
      </c>
      <c r="Q371" t="s">
        <v>21</v>
      </c>
    </row>
    <row r="372" spans="1:17" x14ac:dyDescent="0.25">
      <c r="A372" t="s">
        <v>2483</v>
      </c>
      <c r="B372" t="s">
        <v>2484</v>
      </c>
      <c r="C372" t="s">
        <v>19</v>
      </c>
      <c r="D372">
        <v>38.303800000000003</v>
      </c>
      <c r="E372">
        <v>-107.3725</v>
      </c>
      <c r="F372">
        <v>6755</v>
      </c>
      <c r="G372" t="s">
        <v>1576</v>
      </c>
      <c r="K372">
        <v>0</v>
      </c>
      <c r="O372" t="s">
        <v>30</v>
      </c>
      <c r="Q372" t="s">
        <v>2284</v>
      </c>
    </row>
    <row r="373" spans="1:17" x14ac:dyDescent="0.25">
      <c r="A373" t="s">
        <v>421</v>
      </c>
      <c r="B373" t="s">
        <v>422</v>
      </c>
      <c r="C373" t="s">
        <v>26</v>
      </c>
      <c r="D373">
        <v>40.359169999999999</v>
      </c>
      <c r="E373">
        <v>-101.09305999999999</v>
      </c>
      <c r="K373">
        <v>0</v>
      </c>
      <c r="O373" t="s">
        <v>34</v>
      </c>
      <c r="Q373" t="s">
        <v>21</v>
      </c>
    </row>
    <row r="374" spans="1:17" x14ac:dyDescent="0.25">
      <c r="A374" t="s">
        <v>423</v>
      </c>
      <c r="B374" t="s">
        <v>424</v>
      </c>
      <c r="C374" t="s">
        <v>26</v>
      </c>
      <c r="D374">
        <v>40.305549999999997</v>
      </c>
      <c r="E374">
        <v>-100.85611</v>
      </c>
      <c r="K374">
        <v>0</v>
      </c>
      <c r="O374" t="s">
        <v>34</v>
      </c>
      <c r="Q374" t="s">
        <v>21</v>
      </c>
    </row>
    <row r="375" spans="1:17" x14ac:dyDescent="0.25">
      <c r="A375" t="s">
        <v>2485</v>
      </c>
      <c r="B375" t="s">
        <v>2486</v>
      </c>
      <c r="C375" t="s">
        <v>19</v>
      </c>
      <c r="D375">
        <v>37.216700000000003</v>
      </c>
      <c r="E375">
        <v>-105.2</v>
      </c>
      <c r="F375">
        <v>10500</v>
      </c>
      <c r="G375" t="s">
        <v>1576</v>
      </c>
      <c r="K375">
        <v>0</v>
      </c>
      <c r="O375" t="s">
        <v>57</v>
      </c>
      <c r="Q375" t="s">
        <v>2284</v>
      </c>
    </row>
    <row r="376" spans="1:17" x14ac:dyDescent="0.25">
      <c r="A376" t="s">
        <v>2487</v>
      </c>
      <c r="B376" t="s">
        <v>2488</v>
      </c>
      <c r="C376" t="s">
        <v>19</v>
      </c>
      <c r="D376">
        <v>37.0167</v>
      </c>
      <c r="E376">
        <v>-106.45</v>
      </c>
      <c r="F376">
        <v>10020</v>
      </c>
      <c r="G376" t="s">
        <v>1576</v>
      </c>
      <c r="K376">
        <v>0</v>
      </c>
      <c r="O376" t="s">
        <v>57</v>
      </c>
      <c r="Q376" t="s">
        <v>2284</v>
      </c>
    </row>
    <row r="377" spans="1:17" x14ac:dyDescent="0.25">
      <c r="A377" t="s">
        <v>2489</v>
      </c>
      <c r="B377" t="s">
        <v>2490</v>
      </c>
      <c r="C377" t="s">
        <v>19</v>
      </c>
      <c r="D377">
        <v>38.4878</v>
      </c>
      <c r="E377">
        <v>-107.4144</v>
      </c>
      <c r="F377">
        <v>7867.43</v>
      </c>
      <c r="G377" t="s">
        <v>1576</v>
      </c>
      <c r="K377">
        <v>0</v>
      </c>
      <c r="O377" t="s">
        <v>51</v>
      </c>
      <c r="Q377" t="s">
        <v>2284</v>
      </c>
    </row>
    <row r="378" spans="1:17" x14ac:dyDescent="0.25">
      <c r="A378" t="s">
        <v>2495</v>
      </c>
      <c r="B378" t="s">
        <v>2496</v>
      </c>
      <c r="C378" t="s">
        <v>1622</v>
      </c>
      <c r="D378">
        <v>40.366700000000002</v>
      </c>
      <c r="E378">
        <v>-111.1</v>
      </c>
      <c r="F378">
        <v>8000</v>
      </c>
      <c r="G378" t="s">
        <v>1576</v>
      </c>
      <c r="K378">
        <v>0</v>
      </c>
      <c r="O378" t="s">
        <v>57</v>
      </c>
      <c r="Q378" t="s">
        <v>2284</v>
      </c>
    </row>
    <row r="379" spans="1:17" x14ac:dyDescent="0.25">
      <c r="A379" t="s">
        <v>2493</v>
      </c>
      <c r="B379" t="s">
        <v>2494</v>
      </c>
      <c r="C379" t="s">
        <v>1622</v>
      </c>
      <c r="D379">
        <v>40.200299999999999</v>
      </c>
      <c r="E379">
        <v>-110.90689999999999</v>
      </c>
      <c r="G379" t="s">
        <v>1576</v>
      </c>
      <c r="K379">
        <v>0</v>
      </c>
      <c r="O379" t="s">
        <v>51</v>
      </c>
      <c r="Q379" t="s">
        <v>2284</v>
      </c>
    </row>
    <row r="380" spans="1:17" x14ac:dyDescent="0.25">
      <c r="A380" t="s">
        <v>2491</v>
      </c>
      <c r="B380" t="s">
        <v>2492</v>
      </c>
      <c r="C380" t="s">
        <v>1622</v>
      </c>
      <c r="D380">
        <v>40.120100000000001</v>
      </c>
      <c r="E380">
        <v>-110.5425</v>
      </c>
      <c r="F380">
        <v>7678</v>
      </c>
      <c r="G380" t="s">
        <v>1576</v>
      </c>
      <c r="K380">
        <v>0</v>
      </c>
      <c r="O380" t="s">
        <v>30</v>
      </c>
      <c r="Q380" t="s">
        <v>2284</v>
      </c>
    </row>
    <row r="381" spans="1:17" x14ac:dyDescent="0.25">
      <c r="A381" t="s">
        <v>308</v>
      </c>
      <c r="B381" t="s">
        <v>309</v>
      </c>
      <c r="C381" t="s">
        <v>41</v>
      </c>
      <c r="D381">
        <v>48.633339999999997</v>
      </c>
      <c r="E381">
        <v>-112.34612</v>
      </c>
      <c r="K381">
        <v>0</v>
      </c>
      <c r="O381" t="s">
        <v>51</v>
      </c>
      <c r="Q381" t="s">
        <v>21</v>
      </c>
    </row>
    <row r="382" spans="1:17" x14ac:dyDescent="0.25">
      <c r="A382" t="s">
        <v>310</v>
      </c>
      <c r="B382" t="s">
        <v>311</v>
      </c>
      <c r="C382" t="s">
        <v>41</v>
      </c>
      <c r="D382">
        <v>48.616660000000003</v>
      </c>
      <c r="E382">
        <v>-113.035</v>
      </c>
      <c r="K382">
        <v>0</v>
      </c>
      <c r="O382" t="s">
        <v>51</v>
      </c>
      <c r="Q382" t="s">
        <v>21</v>
      </c>
    </row>
    <row r="383" spans="1:17" x14ac:dyDescent="0.25">
      <c r="A383" t="s">
        <v>2497</v>
      </c>
      <c r="B383" t="s">
        <v>2498</v>
      </c>
      <c r="C383" t="s">
        <v>19</v>
      </c>
      <c r="D383">
        <v>38.177799999999998</v>
      </c>
      <c r="E383">
        <v>-107.7578</v>
      </c>
      <c r="F383">
        <v>6980</v>
      </c>
      <c r="G383" t="s">
        <v>1576</v>
      </c>
      <c r="K383">
        <v>0</v>
      </c>
      <c r="O383" t="s">
        <v>51</v>
      </c>
      <c r="Q383" t="s">
        <v>2284</v>
      </c>
    </row>
    <row r="384" spans="1:17" x14ac:dyDescent="0.25">
      <c r="A384" t="s">
        <v>2499</v>
      </c>
      <c r="B384" t="s">
        <v>2500</v>
      </c>
      <c r="C384" t="s">
        <v>1622</v>
      </c>
      <c r="D384">
        <v>40.299999999999997</v>
      </c>
      <c r="E384">
        <v>-111.25</v>
      </c>
      <c r="F384">
        <v>8000</v>
      </c>
      <c r="G384" t="s">
        <v>1576</v>
      </c>
      <c r="K384">
        <v>0</v>
      </c>
      <c r="O384" t="s">
        <v>57</v>
      </c>
      <c r="Q384" t="s">
        <v>2284</v>
      </c>
    </row>
    <row r="385" spans="1:17" x14ac:dyDescent="0.25">
      <c r="A385" t="s">
        <v>2501</v>
      </c>
      <c r="B385" t="s">
        <v>2502</v>
      </c>
      <c r="C385" t="s">
        <v>2283</v>
      </c>
      <c r="D385">
        <v>32.406700000000001</v>
      </c>
      <c r="E385">
        <v>-104.2261</v>
      </c>
      <c r="G385" t="s">
        <v>1576</v>
      </c>
      <c r="K385">
        <v>0</v>
      </c>
      <c r="O385" t="s">
        <v>51</v>
      </c>
      <c r="Q385" t="s">
        <v>2284</v>
      </c>
    </row>
    <row r="386" spans="1:17" x14ac:dyDescent="0.25">
      <c r="A386" t="s">
        <v>441</v>
      </c>
      <c r="B386" t="s">
        <v>442</v>
      </c>
      <c r="C386" t="s">
        <v>41</v>
      </c>
      <c r="D386">
        <v>45.166670000000003</v>
      </c>
      <c r="E386">
        <v>-113.58334000000001</v>
      </c>
      <c r="F386">
        <v>8700</v>
      </c>
      <c r="K386">
        <v>0</v>
      </c>
      <c r="O386" t="s">
        <v>57</v>
      </c>
      <c r="Q386" t="s">
        <v>21</v>
      </c>
    </row>
    <row r="387" spans="1:17" x14ac:dyDescent="0.25">
      <c r="A387" t="s">
        <v>2503</v>
      </c>
      <c r="B387" t="s">
        <v>2504</v>
      </c>
      <c r="C387" t="s">
        <v>19</v>
      </c>
      <c r="D387">
        <v>39.626899999999999</v>
      </c>
      <c r="E387">
        <v>-107.7569</v>
      </c>
      <c r="G387" t="s">
        <v>1576</v>
      </c>
      <c r="K387">
        <v>0</v>
      </c>
      <c r="O387" t="s">
        <v>20</v>
      </c>
      <c r="Q387" t="s">
        <v>2284</v>
      </c>
    </row>
    <row r="388" spans="1:17" x14ac:dyDescent="0.25">
      <c r="A388" t="s">
        <v>425</v>
      </c>
      <c r="B388" t="s">
        <v>426</v>
      </c>
      <c r="C388" t="s">
        <v>26</v>
      </c>
      <c r="D388">
        <v>41.404719999999998</v>
      </c>
      <c r="E388">
        <v>-98.707769999999996</v>
      </c>
      <c r="K388">
        <v>0</v>
      </c>
      <c r="O388" t="s">
        <v>30</v>
      </c>
      <c r="P388" t="s">
        <v>107</v>
      </c>
      <c r="Q388" t="s">
        <v>21</v>
      </c>
    </row>
    <row r="389" spans="1:17" x14ac:dyDescent="0.25">
      <c r="A389" t="s">
        <v>435</v>
      </c>
      <c r="B389" t="s">
        <v>436</v>
      </c>
      <c r="C389" t="s">
        <v>19</v>
      </c>
      <c r="D389">
        <v>40.799999999999997</v>
      </c>
      <c r="E389">
        <v>-105.75</v>
      </c>
      <c r="F389">
        <v>10220</v>
      </c>
      <c r="K389">
        <v>0</v>
      </c>
      <c r="O389" t="s">
        <v>57</v>
      </c>
      <c r="Q389" t="s">
        <v>21</v>
      </c>
    </row>
    <row r="390" spans="1:17" x14ac:dyDescent="0.25">
      <c r="A390" t="s">
        <v>433</v>
      </c>
      <c r="B390" t="s">
        <v>434</v>
      </c>
      <c r="C390" t="s">
        <v>41</v>
      </c>
      <c r="D390">
        <v>46.8</v>
      </c>
      <c r="E390">
        <v>-110.68333</v>
      </c>
      <c r="F390">
        <v>6450</v>
      </c>
      <c r="K390">
        <v>0</v>
      </c>
      <c r="O390" t="s">
        <v>57</v>
      </c>
      <c r="Q390" t="s">
        <v>21</v>
      </c>
    </row>
    <row r="391" spans="1:17" x14ac:dyDescent="0.25">
      <c r="A391" t="s">
        <v>469</v>
      </c>
      <c r="B391" t="s">
        <v>470</v>
      </c>
      <c r="C391" t="s">
        <v>41</v>
      </c>
      <c r="D391">
        <v>47.2</v>
      </c>
      <c r="E391">
        <v>-112.08334000000001</v>
      </c>
      <c r="K391">
        <v>0</v>
      </c>
      <c r="O391" t="s">
        <v>51</v>
      </c>
      <c r="Q391" t="s">
        <v>21</v>
      </c>
    </row>
    <row r="392" spans="1:17" x14ac:dyDescent="0.25">
      <c r="A392" t="s">
        <v>1668</v>
      </c>
      <c r="B392" t="s">
        <v>1669</v>
      </c>
      <c r="C392" t="s">
        <v>1588</v>
      </c>
      <c r="D392">
        <v>45.586379999999998</v>
      </c>
      <c r="E392">
        <v>-121.64055</v>
      </c>
      <c r="F392">
        <v>350.52</v>
      </c>
      <c r="G392" t="s">
        <v>1589</v>
      </c>
      <c r="H392" s="1">
        <v>32448</v>
      </c>
      <c r="J392" t="s">
        <v>1577</v>
      </c>
      <c r="K392">
        <v>0</v>
      </c>
      <c r="L392" t="s">
        <v>1578</v>
      </c>
      <c r="O392" t="s">
        <v>151</v>
      </c>
      <c r="P392" t="s">
        <v>1585</v>
      </c>
      <c r="Q392" t="s">
        <v>1580</v>
      </c>
    </row>
    <row r="393" spans="1:17" x14ac:dyDescent="0.25">
      <c r="A393" t="s">
        <v>2505</v>
      </c>
      <c r="B393" t="s">
        <v>2506</v>
      </c>
      <c r="C393" t="s">
        <v>1622</v>
      </c>
      <c r="D393">
        <v>40.24</v>
      </c>
      <c r="E393">
        <v>-111.32</v>
      </c>
      <c r="F393">
        <v>5417</v>
      </c>
      <c r="G393" t="s">
        <v>1576</v>
      </c>
      <c r="K393">
        <v>0</v>
      </c>
      <c r="O393" t="s">
        <v>30</v>
      </c>
      <c r="Q393" t="s">
        <v>2284</v>
      </c>
    </row>
    <row r="394" spans="1:17" x14ac:dyDescent="0.25">
      <c r="A394" t="s">
        <v>1674</v>
      </c>
      <c r="B394" t="s">
        <v>1675</v>
      </c>
      <c r="C394" t="s">
        <v>41</v>
      </c>
      <c r="D394">
        <v>46.335549999999998</v>
      </c>
      <c r="E394">
        <v>-112.76666</v>
      </c>
      <c r="F394">
        <v>1426.46</v>
      </c>
      <c r="G394" t="s">
        <v>1576</v>
      </c>
      <c r="H394" s="1">
        <v>35950</v>
      </c>
      <c r="J394" t="s">
        <v>1577</v>
      </c>
      <c r="K394">
        <v>0</v>
      </c>
      <c r="L394" t="s">
        <v>1578</v>
      </c>
      <c r="O394" t="s">
        <v>151</v>
      </c>
      <c r="P394" t="s">
        <v>1585</v>
      </c>
      <c r="Q394" t="s">
        <v>1580</v>
      </c>
    </row>
    <row r="395" spans="1:17" x14ac:dyDescent="0.25">
      <c r="A395" t="s">
        <v>1676</v>
      </c>
      <c r="B395" t="s">
        <v>1677</v>
      </c>
      <c r="C395" t="s">
        <v>1628</v>
      </c>
      <c r="D395">
        <v>47.954642</v>
      </c>
      <c r="E395">
        <v>-117.433522</v>
      </c>
      <c r="F395">
        <v>662.94</v>
      </c>
      <c r="G395" t="s">
        <v>1589</v>
      </c>
      <c r="H395" s="1">
        <v>41815</v>
      </c>
      <c r="J395" t="s">
        <v>1577</v>
      </c>
      <c r="K395">
        <v>0</v>
      </c>
      <c r="L395" t="s">
        <v>1578</v>
      </c>
      <c r="O395" t="s">
        <v>151</v>
      </c>
      <c r="P395" t="s">
        <v>1585</v>
      </c>
      <c r="Q395" t="s">
        <v>1580</v>
      </c>
    </row>
    <row r="396" spans="1:17" x14ac:dyDescent="0.25">
      <c r="A396" t="s">
        <v>463</v>
      </c>
      <c r="B396" t="s">
        <v>464</v>
      </c>
      <c r="C396" t="s">
        <v>37</v>
      </c>
      <c r="D396">
        <v>42.583329999999997</v>
      </c>
      <c r="E396">
        <v>-108.9</v>
      </c>
      <c r="F396">
        <v>9700</v>
      </c>
      <c r="K396">
        <v>0</v>
      </c>
      <c r="O396" t="s">
        <v>57</v>
      </c>
      <c r="Q396" t="s">
        <v>21</v>
      </c>
    </row>
    <row r="397" spans="1:17" x14ac:dyDescent="0.25">
      <c r="A397" t="s">
        <v>437</v>
      </c>
      <c r="B397" t="s">
        <v>438</v>
      </c>
      <c r="C397" t="s">
        <v>29</v>
      </c>
      <c r="D397">
        <v>44.028060000000004</v>
      </c>
      <c r="E397">
        <v>-103.78583999999999</v>
      </c>
      <c r="K397">
        <v>0</v>
      </c>
      <c r="O397" t="s">
        <v>30</v>
      </c>
      <c r="P397" t="s">
        <v>31</v>
      </c>
      <c r="Q397" t="s">
        <v>21</v>
      </c>
    </row>
    <row r="398" spans="1:17" x14ac:dyDescent="0.25">
      <c r="A398" t="s">
        <v>2507</v>
      </c>
      <c r="B398" t="s">
        <v>2508</v>
      </c>
      <c r="C398" t="s">
        <v>2283</v>
      </c>
      <c r="D398">
        <v>36.230800000000002</v>
      </c>
      <c r="E398">
        <v>-108.1992</v>
      </c>
      <c r="F398">
        <v>0</v>
      </c>
      <c r="G398" t="s">
        <v>1576</v>
      </c>
      <c r="K398">
        <v>0</v>
      </c>
      <c r="O398" t="s">
        <v>51</v>
      </c>
      <c r="Q398" t="s">
        <v>2284</v>
      </c>
    </row>
    <row r="399" spans="1:17" x14ac:dyDescent="0.25">
      <c r="A399" t="s">
        <v>2509</v>
      </c>
      <c r="B399" t="s">
        <v>2510</v>
      </c>
      <c r="C399" t="s">
        <v>1622</v>
      </c>
      <c r="D399">
        <v>40.466700000000003</v>
      </c>
      <c r="E399">
        <v>-112.61669999999999</v>
      </c>
      <c r="F399">
        <v>9250</v>
      </c>
      <c r="G399" t="s">
        <v>1576</v>
      </c>
      <c r="K399">
        <v>0</v>
      </c>
      <c r="O399" t="s">
        <v>57</v>
      </c>
      <c r="Q399" t="s">
        <v>2284</v>
      </c>
    </row>
    <row r="400" spans="1:17" x14ac:dyDescent="0.25">
      <c r="A400" t="s">
        <v>2065</v>
      </c>
      <c r="B400" t="s">
        <v>2066</v>
      </c>
      <c r="C400" t="s">
        <v>1987</v>
      </c>
      <c r="D400">
        <v>32.880000000000003</v>
      </c>
      <c r="E400">
        <v>-114.46</v>
      </c>
      <c r="G400" t="s">
        <v>1576</v>
      </c>
      <c r="K400">
        <v>0</v>
      </c>
      <c r="O400" t="s">
        <v>20</v>
      </c>
      <c r="Q400" t="s">
        <v>1988</v>
      </c>
    </row>
    <row r="401" spans="1:17" x14ac:dyDescent="0.25">
      <c r="A401" t="s">
        <v>1678</v>
      </c>
      <c r="B401" t="s">
        <v>1679</v>
      </c>
      <c r="C401" t="s">
        <v>1588</v>
      </c>
      <c r="D401">
        <v>44.73</v>
      </c>
      <c r="E401">
        <v>-122.17916</v>
      </c>
      <c r="F401">
        <v>510.54</v>
      </c>
      <c r="G401" t="s">
        <v>1589</v>
      </c>
      <c r="H401" s="1">
        <v>37365</v>
      </c>
      <c r="J401" t="s">
        <v>1577</v>
      </c>
      <c r="K401">
        <v>0</v>
      </c>
      <c r="L401" t="s">
        <v>1578</v>
      </c>
      <c r="O401" t="s">
        <v>151</v>
      </c>
      <c r="P401" t="s">
        <v>1585</v>
      </c>
      <c r="Q401" t="s">
        <v>1580</v>
      </c>
    </row>
    <row r="402" spans="1:17" x14ac:dyDescent="0.25">
      <c r="A402" t="s">
        <v>445</v>
      </c>
      <c r="B402" t="s">
        <v>446</v>
      </c>
      <c r="C402" t="s">
        <v>19</v>
      </c>
      <c r="D402">
        <v>40.419449999999998</v>
      </c>
      <c r="E402">
        <v>-105.24583</v>
      </c>
      <c r="K402">
        <v>0</v>
      </c>
      <c r="O402" t="s">
        <v>20</v>
      </c>
      <c r="Q402" t="s">
        <v>21</v>
      </c>
    </row>
    <row r="403" spans="1:17" x14ac:dyDescent="0.25">
      <c r="A403" t="s">
        <v>443</v>
      </c>
      <c r="B403" t="s">
        <v>444</v>
      </c>
      <c r="C403" t="s">
        <v>19</v>
      </c>
      <c r="D403">
        <v>39.624720000000003</v>
      </c>
      <c r="E403">
        <v>-106.0325</v>
      </c>
      <c r="F403">
        <v>9065</v>
      </c>
      <c r="K403">
        <v>0</v>
      </c>
      <c r="O403" t="s">
        <v>118</v>
      </c>
      <c r="Q403" t="s">
        <v>21</v>
      </c>
    </row>
    <row r="404" spans="1:17" x14ac:dyDescent="0.25">
      <c r="A404" t="s">
        <v>449</v>
      </c>
      <c r="B404" t="s">
        <v>450</v>
      </c>
      <c r="C404" t="s">
        <v>41</v>
      </c>
      <c r="D404">
        <v>45.333329999999997</v>
      </c>
      <c r="E404">
        <v>-112.50915999999999</v>
      </c>
      <c r="F404">
        <v>5000</v>
      </c>
      <c r="K404">
        <v>0</v>
      </c>
      <c r="O404" t="s">
        <v>151</v>
      </c>
      <c r="Q404" t="s">
        <v>21</v>
      </c>
    </row>
    <row r="405" spans="1:17" x14ac:dyDescent="0.25">
      <c r="A405" t="s">
        <v>2511</v>
      </c>
      <c r="B405" t="s">
        <v>2512</v>
      </c>
      <c r="C405" t="s">
        <v>19</v>
      </c>
      <c r="D405">
        <v>39.369999999999997</v>
      </c>
      <c r="E405">
        <v>-106.04</v>
      </c>
      <c r="F405">
        <v>9017</v>
      </c>
      <c r="G405" t="s">
        <v>1576</v>
      </c>
      <c r="K405">
        <v>0</v>
      </c>
      <c r="O405" t="s">
        <v>30</v>
      </c>
      <c r="Q405" t="s">
        <v>2284</v>
      </c>
    </row>
    <row r="406" spans="1:17" x14ac:dyDescent="0.25">
      <c r="A406" t="s">
        <v>2513</v>
      </c>
      <c r="B406" t="s">
        <v>2514</v>
      </c>
      <c r="C406" t="s">
        <v>1622</v>
      </c>
      <c r="D406">
        <v>39.033299999999997</v>
      </c>
      <c r="E406">
        <v>-111.4667</v>
      </c>
      <c r="F406">
        <v>9200</v>
      </c>
      <c r="G406" t="s">
        <v>1576</v>
      </c>
      <c r="K406">
        <v>0</v>
      </c>
      <c r="O406" t="s">
        <v>57</v>
      </c>
      <c r="Q406" t="s">
        <v>2284</v>
      </c>
    </row>
    <row r="407" spans="1:17" x14ac:dyDescent="0.25">
      <c r="A407" t="s">
        <v>429</v>
      </c>
      <c r="B407" t="s">
        <v>430</v>
      </c>
      <c r="C407" t="s">
        <v>37</v>
      </c>
      <c r="D407">
        <v>43.345550000000003</v>
      </c>
      <c r="E407">
        <v>-109.40945000000001</v>
      </c>
      <c r="K407">
        <v>0</v>
      </c>
      <c r="O407" t="s">
        <v>51</v>
      </c>
      <c r="Q407" t="s">
        <v>21</v>
      </c>
    </row>
    <row r="408" spans="1:17" x14ac:dyDescent="0.25">
      <c r="A408" t="s">
        <v>2515</v>
      </c>
      <c r="B408" t="s">
        <v>2516</v>
      </c>
      <c r="C408" t="s">
        <v>37</v>
      </c>
      <c r="D408">
        <v>41.3</v>
      </c>
      <c r="E408">
        <v>-107.16670000000001</v>
      </c>
      <c r="F408">
        <v>8860</v>
      </c>
      <c r="G408" t="s">
        <v>1576</v>
      </c>
      <c r="K408">
        <v>0</v>
      </c>
      <c r="O408" t="s">
        <v>57</v>
      </c>
      <c r="Q408" t="s">
        <v>2284</v>
      </c>
    </row>
    <row r="409" spans="1:17" x14ac:dyDescent="0.25">
      <c r="A409" t="s">
        <v>479</v>
      </c>
      <c r="B409" t="s">
        <v>480</v>
      </c>
      <c r="C409" t="s">
        <v>37</v>
      </c>
      <c r="D409">
        <v>41.3</v>
      </c>
      <c r="E409">
        <v>-107.16665999999999</v>
      </c>
      <c r="F409">
        <v>8860</v>
      </c>
      <c r="K409">
        <v>0</v>
      </c>
      <c r="O409" t="s">
        <v>57</v>
      </c>
      <c r="Q409" t="s">
        <v>21</v>
      </c>
    </row>
    <row r="410" spans="1:17" x14ac:dyDescent="0.25">
      <c r="A410" t="s">
        <v>447</v>
      </c>
      <c r="B410" t="s">
        <v>448</v>
      </c>
      <c r="C410" t="s">
        <v>41</v>
      </c>
      <c r="D410">
        <v>44.8</v>
      </c>
      <c r="E410">
        <v>-112.05</v>
      </c>
      <c r="F410">
        <v>7800</v>
      </c>
      <c r="K410">
        <v>0</v>
      </c>
      <c r="O410" t="s">
        <v>57</v>
      </c>
      <c r="Q410" t="s">
        <v>21</v>
      </c>
    </row>
    <row r="411" spans="1:17" x14ac:dyDescent="0.25">
      <c r="A411" t="s">
        <v>453</v>
      </c>
      <c r="B411" t="s">
        <v>454</v>
      </c>
      <c r="C411" t="s">
        <v>41</v>
      </c>
      <c r="D411">
        <v>48.411949999999997</v>
      </c>
      <c r="E411">
        <v>-108.3075</v>
      </c>
      <c r="K411">
        <v>0</v>
      </c>
      <c r="O411" t="s">
        <v>51</v>
      </c>
      <c r="Q411" t="s">
        <v>21</v>
      </c>
    </row>
    <row r="412" spans="1:17" x14ac:dyDescent="0.25">
      <c r="A412" t="s">
        <v>455</v>
      </c>
      <c r="B412" t="s">
        <v>456</v>
      </c>
      <c r="C412" t="s">
        <v>41</v>
      </c>
      <c r="D412">
        <v>48.379719999999999</v>
      </c>
      <c r="E412">
        <v>-108.17083</v>
      </c>
      <c r="K412">
        <v>0</v>
      </c>
      <c r="O412" t="s">
        <v>34</v>
      </c>
      <c r="Q412" t="s">
        <v>21</v>
      </c>
    </row>
    <row r="413" spans="1:17" x14ac:dyDescent="0.25">
      <c r="A413" t="s">
        <v>457</v>
      </c>
      <c r="B413" t="s">
        <v>458</v>
      </c>
      <c r="C413" t="s">
        <v>41</v>
      </c>
      <c r="D413">
        <v>48.405000000000001</v>
      </c>
      <c r="E413">
        <v>-108.22</v>
      </c>
      <c r="K413">
        <v>0</v>
      </c>
      <c r="O413" t="s">
        <v>34</v>
      </c>
      <c r="Q413" t="s">
        <v>21</v>
      </c>
    </row>
    <row r="414" spans="1:17" x14ac:dyDescent="0.25">
      <c r="A414" t="s">
        <v>461</v>
      </c>
      <c r="B414" t="s">
        <v>462</v>
      </c>
      <c r="C414" t="s">
        <v>41</v>
      </c>
      <c r="D414">
        <v>48.413060000000002</v>
      </c>
      <c r="E414">
        <v>-108.26833000000001</v>
      </c>
      <c r="K414">
        <v>0</v>
      </c>
      <c r="O414" t="s">
        <v>34</v>
      </c>
      <c r="Q414" t="s">
        <v>21</v>
      </c>
    </row>
    <row r="415" spans="1:17" x14ac:dyDescent="0.25">
      <c r="A415" t="s">
        <v>471</v>
      </c>
      <c r="B415" t="s">
        <v>472</v>
      </c>
      <c r="C415" t="s">
        <v>41</v>
      </c>
      <c r="D415">
        <v>48.405830000000002</v>
      </c>
      <c r="E415">
        <v>-108.30611</v>
      </c>
      <c r="K415">
        <v>0</v>
      </c>
      <c r="O415" t="s">
        <v>34</v>
      </c>
      <c r="Q415" t="s">
        <v>21</v>
      </c>
    </row>
    <row r="416" spans="1:17" x14ac:dyDescent="0.25">
      <c r="A416" t="s">
        <v>459</v>
      </c>
      <c r="B416" t="s">
        <v>460</v>
      </c>
      <c r="C416" t="s">
        <v>41</v>
      </c>
      <c r="D416">
        <v>48.347499999999997</v>
      </c>
      <c r="E416">
        <v>-108.14278</v>
      </c>
      <c r="K416">
        <v>0</v>
      </c>
      <c r="O416" t="s">
        <v>34</v>
      </c>
      <c r="Q416" t="s">
        <v>21</v>
      </c>
    </row>
    <row r="417" spans="1:17" x14ac:dyDescent="0.25">
      <c r="A417" t="s">
        <v>2517</v>
      </c>
      <c r="B417" t="s">
        <v>2518</v>
      </c>
      <c r="C417" t="s">
        <v>19</v>
      </c>
      <c r="D417">
        <v>37.472499999999997</v>
      </c>
      <c r="E417">
        <v>-108.4969</v>
      </c>
      <c r="F417">
        <v>6918.74</v>
      </c>
      <c r="G417" t="s">
        <v>1576</v>
      </c>
      <c r="K417">
        <v>0</v>
      </c>
      <c r="O417" t="s">
        <v>51</v>
      </c>
      <c r="Q417" t="s">
        <v>2284</v>
      </c>
    </row>
    <row r="418" spans="1:17" x14ac:dyDescent="0.25">
      <c r="A418" t="s">
        <v>2519</v>
      </c>
      <c r="B418" t="s">
        <v>2520</v>
      </c>
      <c r="C418" t="s">
        <v>19</v>
      </c>
      <c r="D418">
        <v>38.681399999999996</v>
      </c>
      <c r="E418">
        <v>-108.97969999999999</v>
      </c>
      <c r="F418">
        <v>4547.76</v>
      </c>
      <c r="G418" t="s">
        <v>1576</v>
      </c>
      <c r="K418">
        <v>0</v>
      </c>
      <c r="O418" t="s">
        <v>51</v>
      </c>
      <c r="Q418" t="s">
        <v>2284</v>
      </c>
    </row>
    <row r="419" spans="1:17" x14ac:dyDescent="0.25">
      <c r="A419" t="s">
        <v>2521</v>
      </c>
      <c r="B419" t="s">
        <v>2522</v>
      </c>
      <c r="C419" t="s">
        <v>1622</v>
      </c>
      <c r="D419">
        <v>37.566699999999997</v>
      </c>
      <c r="E419">
        <v>-108.5667</v>
      </c>
      <c r="G419" t="s">
        <v>1576</v>
      </c>
      <c r="K419">
        <v>0</v>
      </c>
      <c r="O419" t="s">
        <v>51</v>
      </c>
      <c r="Q419" t="s">
        <v>2284</v>
      </c>
    </row>
    <row r="420" spans="1:17" x14ac:dyDescent="0.25">
      <c r="A420" t="s">
        <v>2523</v>
      </c>
      <c r="B420" t="s">
        <v>2524</v>
      </c>
      <c r="C420" t="s">
        <v>19</v>
      </c>
      <c r="D420">
        <v>37.6389</v>
      </c>
      <c r="E420">
        <v>-108.05970000000001</v>
      </c>
      <c r="F420">
        <v>8422.23</v>
      </c>
      <c r="G420" t="s">
        <v>1576</v>
      </c>
      <c r="K420">
        <v>0</v>
      </c>
      <c r="O420" t="s">
        <v>51</v>
      </c>
      <c r="Q420" t="s">
        <v>2284</v>
      </c>
    </row>
    <row r="421" spans="1:17" x14ac:dyDescent="0.25">
      <c r="A421" t="s">
        <v>2525</v>
      </c>
      <c r="B421" t="s">
        <v>2526</v>
      </c>
      <c r="C421" t="s">
        <v>19</v>
      </c>
      <c r="D421">
        <v>37.575299999999999</v>
      </c>
      <c r="E421">
        <v>-108.5772</v>
      </c>
      <c r="G421" t="s">
        <v>1576</v>
      </c>
      <c r="K421">
        <v>0</v>
      </c>
      <c r="O421" t="s">
        <v>51</v>
      </c>
      <c r="Q421" t="s">
        <v>2284</v>
      </c>
    </row>
    <row r="422" spans="1:17" x14ac:dyDescent="0.25">
      <c r="A422" t="s">
        <v>2527</v>
      </c>
      <c r="B422" t="s">
        <v>2528</v>
      </c>
      <c r="C422" t="s">
        <v>19</v>
      </c>
      <c r="D422">
        <v>38.356900000000003</v>
      </c>
      <c r="E422">
        <v>-108.83280000000001</v>
      </c>
      <c r="F422">
        <v>4910</v>
      </c>
      <c r="G422" t="s">
        <v>1576</v>
      </c>
      <c r="K422">
        <v>0</v>
      </c>
      <c r="O422" t="s">
        <v>51</v>
      </c>
      <c r="Q422" t="s">
        <v>2284</v>
      </c>
    </row>
    <row r="423" spans="1:17" x14ac:dyDescent="0.25">
      <c r="A423" t="s">
        <v>2529</v>
      </c>
      <c r="B423" t="s">
        <v>2530</v>
      </c>
      <c r="C423" t="s">
        <v>1622</v>
      </c>
      <c r="D423">
        <v>38.797199999999997</v>
      </c>
      <c r="E423">
        <v>-109.1951</v>
      </c>
      <c r="F423">
        <v>4165</v>
      </c>
      <c r="G423" t="s">
        <v>1576</v>
      </c>
      <c r="K423">
        <v>0</v>
      </c>
      <c r="O423" t="s">
        <v>51</v>
      </c>
      <c r="Q423" t="s">
        <v>2284</v>
      </c>
    </row>
    <row r="424" spans="1:17" x14ac:dyDescent="0.25">
      <c r="A424" t="s">
        <v>451</v>
      </c>
      <c r="B424" t="s">
        <v>452</v>
      </c>
      <c r="C424" t="s">
        <v>37</v>
      </c>
      <c r="D424">
        <v>44.566670000000002</v>
      </c>
      <c r="E424">
        <v>-107.3</v>
      </c>
      <c r="F424">
        <v>8880</v>
      </c>
      <c r="K424">
        <v>0</v>
      </c>
      <c r="O424" t="s">
        <v>57</v>
      </c>
      <c r="Q424" t="s">
        <v>21</v>
      </c>
    </row>
    <row r="425" spans="1:17" x14ac:dyDescent="0.25">
      <c r="A425" t="s">
        <v>2531</v>
      </c>
      <c r="B425" t="s">
        <v>2532</v>
      </c>
      <c r="C425" t="s">
        <v>1622</v>
      </c>
      <c r="D425">
        <v>38.216700000000003</v>
      </c>
      <c r="E425">
        <v>-111.4667</v>
      </c>
      <c r="F425">
        <v>9800</v>
      </c>
      <c r="G425" t="s">
        <v>1576</v>
      </c>
      <c r="K425">
        <v>0</v>
      </c>
      <c r="O425" t="s">
        <v>57</v>
      </c>
      <c r="Q425" t="s">
        <v>2284</v>
      </c>
    </row>
    <row r="426" spans="1:17" x14ac:dyDescent="0.25">
      <c r="A426" t="s">
        <v>3485</v>
      </c>
      <c r="B426" t="s">
        <v>3486</v>
      </c>
      <c r="C426" t="s">
        <v>1643</v>
      </c>
      <c r="D426">
        <v>38.329000000000001</v>
      </c>
      <c r="E426">
        <v>-119.96</v>
      </c>
      <c r="F426">
        <v>4835</v>
      </c>
      <c r="G426" t="s">
        <v>1589</v>
      </c>
      <c r="K426">
        <v>0</v>
      </c>
      <c r="O426" t="s">
        <v>30</v>
      </c>
      <c r="Q426" t="s">
        <v>3478</v>
      </c>
    </row>
    <row r="427" spans="1:17" x14ac:dyDescent="0.25">
      <c r="A427" t="s">
        <v>475</v>
      </c>
      <c r="B427" t="s">
        <v>476</v>
      </c>
      <c r="C427" t="s">
        <v>86</v>
      </c>
      <c r="D427">
        <v>31.283329999999999</v>
      </c>
      <c r="E427">
        <v>-100.3</v>
      </c>
      <c r="K427">
        <v>0</v>
      </c>
      <c r="O427" t="s">
        <v>51</v>
      </c>
      <c r="Q427" t="s">
        <v>21</v>
      </c>
    </row>
    <row r="428" spans="1:17" x14ac:dyDescent="0.25">
      <c r="A428" t="s">
        <v>1682</v>
      </c>
      <c r="B428" t="s">
        <v>1683</v>
      </c>
      <c r="C428" t="s">
        <v>410</v>
      </c>
      <c r="D428">
        <v>42.433549999999997</v>
      </c>
      <c r="E428">
        <v>-112.12929</v>
      </c>
      <c r="F428">
        <v>1483</v>
      </c>
      <c r="G428" t="s">
        <v>1576</v>
      </c>
      <c r="H428" s="1">
        <v>42090</v>
      </c>
      <c r="J428" t="s">
        <v>1577</v>
      </c>
      <c r="K428">
        <v>0</v>
      </c>
      <c r="L428" t="s">
        <v>1578</v>
      </c>
      <c r="O428" t="s">
        <v>151</v>
      </c>
      <c r="P428" t="s">
        <v>1585</v>
      </c>
      <c r="Q428" t="s">
        <v>1580</v>
      </c>
    </row>
    <row r="429" spans="1:17" x14ac:dyDescent="0.25">
      <c r="A429" t="s">
        <v>1602</v>
      </c>
      <c r="B429" t="s">
        <v>1603</v>
      </c>
      <c r="C429" t="s">
        <v>1604</v>
      </c>
      <c r="D429">
        <v>40.093888999999997</v>
      </c>
      <c r="E429">
        <v>-117.16888899999999</v>
      </c>
      <c r="F429">
        <v>1484.6808000000001</v>
      </c>
      <c r="G429" t="s">
        <v>1589</v>
      </c>
      <c r="H429" s="1">
        <v>40705</v>
      </c>
      <c r="J429" t="s">
        <v>1577</v>
      </c>
      <c r="K429">
        <v>0</v>
      </c>
      <c r="L429" t="s">
        <v>1578</v>
      </c>
      <c r="O429" t="s">
        <v>151</v>
      </c>
      <c r="P429" t="s">
        <v>1605</v>
      </c>
      <c r="Q429" t="s">
        <v>1580</v>
      </c>
    </row>
    <row r="430" spans="1:17" x14ac:dyDescent="0.25">
      <c r="A430" t="s">
        <v>1637</v>
      </c>
      <c r="B430" t="s">
        <v>1638</v>
      </c>
      <c r="C430" t="s">
        <v>1604</v>
      </c>
      <c r="D430">
        <v>38.223056</v>
      </c>
      <c r="E430">
        <v>-119.252222</v>
      </c>
      <c r="F430">
        <v>1979.6759999999999</v>
      </c>
      <c r="G430" t="s">
        <v>1589</v>
      </c>
      <c r="H430" s="1">
        <v>41102</v>
      </c>
      <c r="J430" t="s">
        <v>1577</v>
      </c>
      <c r="K430">
        <v>0</v>
      </c>
      <c r="L430" t="s">
        <v>1578</v>
      </c>
      <c r="O430" t="s">
        <v>151</v>
      </c>
      <c r="P430" t="s">
        <v>1605</v>
      </c>
      <c r="Q430" t="s">
        <v>1580</v>
      </c>
    </row>
    <row r="431" spans="1:17" x14ac:dyDescent="0.25">
      <c r="A431" t="s">
        <v>1666</v>
      </c>
      <c r="B431" t="s">
        <v>1667</v>
      </c>
      <c r="C431" t="s">
        <v>1604</v>
      </c>
      <c r="D431">
        <v>38.992778000000001</v>
      </c>
      <c r="E431">
        <v>-119.803889</v>
      </c>
      <c r="F431">
        <v>1425.5496000000001</v>
      </c>
      <c r="G431" t="s">
        <v>1589</v>
      </c>
      <c r="H431" s="1">
        <v>40400</v>
      </c>
      <c r="J431" t="s">
        <v>1577</v>
      </c>
      <c r="K431">
        <v>0</v>
      </c>
      <c r="L431" t="s">
        <v>1578</v>
      </c>
      <c r="O431" t="s">
        <v>151</v>
      </c>
      <c r="P431" t="s">
        <v>1605</v>
      </c>
      <c r="Q431" t="s">
        <v>1580</v>
      </c>
    </row>
    <row r="432" spans="1:17" x14ac:dyDescent="0.25">
      <c r="A432" t="s">
        <v>1750</v>
      </c>
      <c r="B432" t="s">
        <v>1751</v>
      </c>
      <c r="C432" t="s">
        <v>1604</v>
      </c>
      <c r="D432">
        <v>40.901111</v>
      </c>
      <c r="E432">
        <v>-119.333056</v>
      </c>
      <c r="F432">
        <v>1235.9639999999999</v>
      </c>
      <c r="G432" t="s">
        <v>1589</v>
      </c>
      <c r="H432" s="1">
        <v>41194</v>
      </c>
      <c r="J432" t="s">
        <v>1577</v>
      </c>
      <c r="K432">
        <v>0</v>
      </c>
      <c r="L432" t="s">
        <v>1578</v>
      </c>
      <c r="O432" t="s">
        <v>151</v>
      </c>
      <c r="P432" t="s">
        <v>1605</v>
      </c>
      <c r="Q432" t="s">
        <v>1580</v>
      </c>
    </row>
    <row r="433" spans="1:17" x14ac:dyDescent="0.25">
      <c r="A433" t="s">
        <v>1834</v>
      </c>
      <c r="B433" t="s">
        <v>1835</v>
      </c>
      <c r="C433" t="s">
        <v>1604</v>
      </c>
      <c r="D433">
        <v>39.106667000000002</v>
      </c>
      <c r="E433">
        <v>-119.147222</v>
      </c>
      <c r="F433">
        <v>1318.8696</v>
      </c>
      <c r="G433" t="s">
        <v>1589</v>
      </c>
      <c r="H433" s="1">
        <v>40643</v>
      </c>
      <c r="J433" t="s">
        <v>1577</v>
      </c>
      <c r="K433">
        <v>0</v>
      </c>
      <c r="L433" t="s">
        <v>1578</v>
      </c>
      <c r="O433" t="s">
        <v>151</v>
      </c>
      <c r="P433" t="s">
        <v>1605</v>
      </c>
      <c r="Q433" t="s">
        <v>1580</v>
      </c>
    </row>
    <row r="434" spans="1:17" x14ac:dyDescent="0.25">
      <c r="A434" t="s">
        <v>1830</v>
      </c>
      <c r="B434" t="s">
        <v>1831</v>
      </c>
      <c r="C434" t="s">
        <v>1604</v>
      </c>
      <c r="D434">
        <v>36.569721999999999</v>
      </c>
      <c r="E434">
        <v>-114.458889</v>
      </c>
      <c r="F434">
        <v>398.67840000000001</v>
      </c>
      <c r="G434" t="s">
        <v>1589</v>
      </c>
      <c r="H434" s="1">
        <v>40219</v>
      </c>
      <c r="J434" t="s">
        <v>1577</v>
      </c>
      <c r="K434">
        <v>0</v>
      </c>
      <c r="L434" t="s">
        <v>1578</v>
      </c>
      <c r="O434" t="s">
        <v>151</v>
      </c>
      <c r="P434" t="s">
        <v>1605</v>
      </c>
      <c r="Q434" t="s">
        <v>1580</v>
      </c>
    </row>
    <row r="435" spans="1:17" x14ac:dyDescent="0.25">
      <c r="A435" t="s">
        <v>1844</v>
      </c>
      <c r="B435" t="s">
        <v>1845</v>
      </c>
      <c r="C435" t="s">
        <v>1604</v>
      </c>
      <c r="D435">
        <v>39.458055999999999</v>
      </c>
      <c r="E435">
        <v>-114.50666699999999</v>
      </c>
      <c r="F435">
        <v>1719.6815999999999</v>
      </c>
      <c r="G435" t="s">
        <v>1589</v>
      </c>
      <c r="H435" s="1">
        <v>40705</v>
      </c>
      <c r="J435" t="s">
        <v>1577</v>
      </c>
      <c r="K435">
        <v>0</v>
      </c>
      <c r="L435" t="s">
        <v>1578</v>
      </c>
      <c r="O435" t="s">
        <v>151</v>
      </c>
      <c r="P435" t="s">
        <v>1605</v>
      </c>
      <c r="Q435" t="s">
        <v>1580</v>
      </c>
    </row>
    <row r="436" spans="1:17" x14ac:dyDescent="0.25">
      <c r="A436" t="s">
        <v>1886</v>
      </c>
      <c r="B436" t="s">
        <v>1887</v>
      </c>
      <c r="C436" t="s">
        <v>1604</v>
      </c>
      <c r="D436">
        <v>37.245556000000001</v>
      </c>
      <c r="E436">
        <v>-115.10638899999999</v>
      </c>
      <c r="F436">
        <v>982.98</v>
      </c>
      <c r="G436" t="s">
        <v>1589</v>
      </c>
      <c r="H436" s="1">
        <v>40369</v>
      </c>
      <c r="J436" t="s">
        <v>1577</v>
      </c>
      <c r="K436">
        <v>0</v>
      </c>
      <c r="L436" t="s">
        <v>1578</v>
      </c>
      <c r="O436" t="s">
        <v>151</v>
      </c>
      <c r="P436" t="s">
        <v>1605</v>
      </c>
      <c r="Q436" t="s">
        <v>1580</v>
      </c>
    </row>
    <row r="437" spans="1:17" x14ac:dyDescent="0.25">
      <c r="A437" t="s">
        <v>1884</v>
      </c>
      <c r="B437" t="s">
        <v>1885</v>
      </c>
      <c r="C437" t="s">
        <v>1604</v>
      </c>
      <c r="D437">
        <v>41.185555999999998</v>
      </c>
      <c r="E437">
        <v>-117.66027800000001</v>
      </c>
      <c r="F437">
        <v>1341.12</v>
      </c>
      <c r="G437" t="s">
        <v>1589</v>
      </c>
      <c r="H437" s="1">
        <v>40492</v>
      </c>
      <c r="J437" t="s">
        <v>1577</v>
      </c>
      <c r="K437">
        <v>0</v>
      </c>
      <c r="L437" t="s">
        <v>1578</v>
      </c>
      <c r="O437" t="s">
        <v>151</v>
      </c>
      <c r="P437" t="s">
        <v>1605</v>
      </c>
      <c r="Q437" t="s">
        <v>1580</v>
      </c>
    </row>
    <row r="438" spans="1:17" x14ac:dyDescent="0.25">
      <c r="A438" t="s">
        <v>1902</v>
      </c>
      <c r="B438" t="s">
        <v>1903</v>
      </c>
      <c r="C438" t="s">
        <v>1604</v>
      </c>
      <c r="D438">
        <v>36.478332999999999</v>
      </c>
      <c r="E438">
        <v>-116.330833</v>
      </c>
      <c r="F438">
        <v>688.84799999999996</v>
      </c>
      <c r="G438" t="s">
        <v>1589</v>
      </c>
      <c r="H438" s="1">
        <v>40431</v>
      </c>
      <c r="J438" t="s">
        <v>1577</v>
      </c>
      <c r="K438">
        <v>0</v>
      </c>
      <c r="L438" t="s">
        <v>1578</v>
      </c>
      <c r="O438" t="s">
        <v>151</v>
      </c>
      <c r="P438" t="s">
        <v>1605</v>
      </c>
      <c r="Q438" t="s">
        <v>1580</v>
      </c>
    </row>
    <row r="439" spans="1:17" x14ac:dyDescent="0.25">
      <c r="A439" t="s">
        <v>1951</v>
      </c>
      <c r="B439" t="s">
        <v>1952</v>
      </c>
      <c r="C439" t="s">
        <v>1604</v>
      </c>
      <c r="D439">
        <v>37.646667000000001</v>
      </c>
      <c r="E439">
        <v>-115.7975</v>
      </c>
      <c r="F439">
        <v>1466.088</v>
      </c>
      <c r="G439" t="s">
        <v>1589</v>
      </c>
      <c r="H439" s="1">
        <v>40522</v>
      </c>
      <c r="J439" t="s">
        <v>1577</v>
      </c>
      <c r="K439">
        <v>0</v>
      </c>
      <c r="L439" t="s">
        <v>1578</v>
      </c>
      <c r="O439" t="s">
        <v>151</v>
      </c>
      <c r="P439" t="s">
        <v>1605</v>
      </c>
      <c r="Q439" t="s">
        <v>1580</v>
      </c>
    </row>
    <row r="440" spans="1:17" x14ac:dyDescent="0.25">
      <c r="A440" t="s">
        <v>1933</v>
      </c>
      <c r="B440" t="s">
        <v>1934</v>
      </c>
      <c r="C440" t="s">
        <v>1604</v>
      </c>
      <c r="D440">
        <v>38.751389000000003</v>
      </c>
      <c r="E440">
        <v>-119.335556</v>
      </c>
      <c r="F440">
        <v>1488.9480000000001</v>
      </c>
      <c r="G440" t="s">
        <v>1589</v>
      </c>
      <c r="H440" s="1">
        <v>40400</v>
      </c>
      <c r="J440" t="s">
        <v>1577</v>
      </c>
      <c r="K440">
        <v>0</v>
      </c>
      <c r="L440" t="s">
        <v>1578</v>
      </c>
      <c r="O440" t="s">
        <v>151</v>
      </c>
      <c r="P440" t="s">
        <v>1605</v>
      </c>
      <c r="Q440" t="s">
        <v>1580</v>
      </c>
    </row>
    <row r="441" spans="1:17" x14ac:dyDescent="0.25">
      <c r="A441" t="s">
        <v>1937</v>
      </c>
      <c r="B441" t="s">
        <v>1938</v>
      </c>
      <c r="C441" t="s">
        <v>1604</v>
      </c>
      <c r="D441">
        <v>39.021110999999998</v>
      </c>
      <c r="E441">
        <v>-114.08972199999999</v>
      </c>
      <c r="F441">
        <v>1578.864</v>
      </c>
      <c r="G441" t="s">
        <v>1589</v>
      </c>
      <c r="H441" s="1">
        <v>40400</v>
      </c>
      <c r="J441" t="s">
        <v>1577</v>
      </c>
      <c r="K441">
        <v>0</v>
      </c>
      <c r="L441" t="s">
        <v>1578</v>
      </c>
      <c r="O441" t="s">
        <v>151</v>
      </c>
      <c r="P441" t="s">
        <v>1605</v>
      </c>
      <c r="Q441" t="s">
        <v>1580</v>
      </c>
    </row>
    <row r="442" spans="1:17" x14ac:dyDescent="0.25">
      <c r="A442" t="s">
        <v>1953</v>
      </c>
      <c r="B442" t="s">
        <v>1954</v>
      </c>
      <c r="C442" t="s">
        <v>1604</v>
      </c>
      <c r="D442">
        <v>40.084167000000001</v>
      </c>
      <c r="E442">
        <v>-114.65138899999999</v>
      </c>
      <c r="F442">
        <v>1784.604</v>
      </c>
      <c r="G442" t="s">
        <v>1589</v>
      </c>
      <c r="H442" s="1">
        <v>40613</v>
      </c>
      <c r="J442" t="s">
        <v>1577</v>
      </c>
      <c r="K442">
        <v>0</v>
      </c>
      <c r="L442" t="s">
        <v>1578</v>
      </c>
      <c r="O442" t="s">
        <v>151</v>
      </c>
      <c r="P442" t="s">
        <v>1605</v>
      </c>
      <c r="Q442" t="s">
        <v>1580</v>
      </c>
    </row>
    <row r="443" spans="1:17" x14ac:dyDescent="0.25">
      <c r="A443" t="s">
        <v>1959</v>
      </c>
      <c r="B443" t="s">
        <v>1960</v>
      </c>
      <c r="C443" t="s">
        <v>1604</v>
      </c>
      <c r="D443">
        <v>39.195556000000003</v>
      </c>
      <c r="E443">
        <v>-114.810278</v>
      </c>
      <c r="F443">
        <v>1965.96</v>
      </c>
      <c r="G443" t="s">
        <v>1589</v>
      </c>
      <c r="H443" s="1">
        <v>40613</v>
      </c>
      <c r="J443" t="s">
        <v>1577</v>
      </c>
      <c r="K443">
        <v>0</v>
      </c>
      <c r="L443" t="s">
        <v>1578</v>
      </c>
      <c r="O443" t="s">
        <v>151</v>
      </c>
      <c r="P443" t="s">
        <v>1605</v>
      </c>
      <c r="Q443" t="s">
        <v>1580</v>
      </c>
    </row>
    <row r="444" spans="1:17" x14ac:dyDescent="0.25">
      <c r="A444" t="s">
        <v>1943</v>
      </c>
      <c r="B444" t="s">
        <v>1944</v>
      </c>
      <c r="C444" t="s">
        <v>1604</v>
      </c>
      <c r="D444">
        <v>39.503056000000001</v>
      </c>
      <c r="E444">
        <v>-119.73777800000001</v>
      </c>
      <c r="F444">
        <v>1338.0719999999999</v>
      </c>
      <c r="G444" t="s">
        <v>1589</v>
      </c>
      <c r="H444" s="1">
        <v>40308</v>
      </c>
      <c r="J444" t="s">
        <v>1577</v>
      </c>
      <c r="K444">
        <v>0</v>
      </c>
      <c r="L444" t="s">
        <v>1578</v>
      </c>
      <c r="O444" t="s">
        <v>151</v>
      </c>
      <c r="P444" t="s">
        <v>1605</v>
      </c>
      <c r="Q444" t="s">
        <v>1580</v>
      </c>
    </row>
    <row r="445" spans="1:17" x14ac:dyDescent="0.25">
      <c r="A445" t="s">
        <v>2533</v>
      </c>
      <c r="B445" t="s">
        <v>2534</v>
      </c>
      <c r="C445" t="s">
        <v>1622</v>
      </c>
      <c r="D445">
        <v>41.416699999999999</v>
      </c>
      <c r="E445">
        <v>-111.5333</v>
      </c>
      <c r="F445">
        <v>8350</v>
      </c>
      <c r="G445" t="s">
        <v>1576</v>
      </c>
      <c r="K445">
        <v>0</v>
      </c>
      <c r="O445" t="s">
        <v>57</v>
      </c>
      <c r="Q445" t="s">
        <v>2284</v>
      </c>
    </row>
    <row r="446" spans="1:17" x14ac:dyDescent="0.25">
      <c r="A446" t="s">
        <v>431</v>
      </c>
      <c r="B446" t="s">
        <v>432</v>
      </c>
      <c r="C446" t="s">
        <v>37</v>
      </c>
      <c r="D446">
        <v>43.343060000000001</v>
      </c>
      <c r="E446">
        <v>-109.29111</v>
      </c>
      <c r="K446">
        <v>0</v>
      </c>
      <c r="O446" t="s">
        <v>34</v>
      </c>
      <c r="Q446" t="s">
        <v>21</v>
      </c>
    </row>
    <row r="447" spans="1:17" x14ac:dyDescent="0.25">
      <c r="A447" t="s">
        <v>467</v>
      </c>
      <c r="B447" t="s">
        <v>468</v>
      </c>
      <c r="C447" t="s">
        <v>37</v>
      </c>
      <c r="D447">
        <v>43.336390000000002</v>
      </c>
      <c r="E447">
        <v>-109.29861</v>
      </c>
      <c r="K447">
        <v>0</v>
      </c>
      <c r="O447" t="s">
        <v>51</v>
      </c>
      <c r="Q447" t="s">
        <v>21</v>
      </c>
    </row>
    <row r="448" spans="1:17" x14ac:dyDescent="0.25">
      <c r="A448" t="s">
        <v>2535</v>
      </c>
      <c r="B448" t="s">
        <v>2536</v>
      </c>
      <c r="C448" t="s">
        <v>1622</v>
      </c>
      <c r="D448">
        <v>40.564999999999998</v>
      </c>
      <c r="E448">
        <v>-112.1733</v>
      </c>
      <c r="F448">
        <v>7160</v>
      </c>
      <c r="G448" t="s">
        <v>1576</v>
      </c>
      <c r="K448">
        <v>0</v>
      </c>
      <c r="O448" t="s">
        <v>57</v>
      </c>
      <c r="Q448" t="s">
        <v>2284</v>
      </c>
    </row>
    <row r="449" spans="1:17" x14ac:dyDescent="0.25">
      <c r="A449" t="s">
        <v>439</v>
      </c>
      <c r="B449" t="s">
        <v>440</v>
      </c>
      <c r="C449" t="s">
        <v>86</v>
      </c>
      <c r="D449">
        <v>29.504439999999999</v>
      </c>
      <c r="E449">
        <v>-99.781109999999998</v>
      </c>
      <c r="K449">
        <v>0</v>
      </c>
      <c r="O449" t="s">
        <v>51</v>
      </c>
      <c r="Q449" t="s">
        <v>21</v>
      </c>
    </row>
    <row r="450" spans="1:17" x14ac:dyDescent="0.25">
      <c r="A450" t="s">
        <v>2537</v>
      </c>
      <c r="B450" t="s">
        <v>2538</v>
      </c>
      <c r="C450" t="s">
        <v>19</v>
      </c>
      <c r="D450">
        <v>40.533299999999997</v>
      </c>
      <c r="E450">
        <v>-106.7833</v>
      </c>
      <c r="F450">
        <v>8400</v>
      </c>
      <c r="G450" t="s">
        <v>1576</v>
      </c>
      <c r="K450">
        <v>0</v>
      </c>
      <c r="O450" t="s">
        <v>57</v>
      </c>
      <c r="Q450" t="s">
        <v>2284</v>
      </c>
    </row>
    <row r="451" spans="1:17" x14ac:dyDescent="0.25">
      <c r="A451" t="s">
        <v>473</v>
      </c>
      <c r="B451" t="s">
        <v>474</v>
      </c>
      <c r="C451" t="s">
        <v>26</v>
      </c>
      <c r="D451">
        <v>41.98639</v>
      </c>
      <c r="E451">
        <v>-103.82944000000001</v>
      </c>
      <c r="K451">
        <v>0</v>
      </c>
      <c r="O451" t="s">
        <v>20</v>
      </c>
      <c r="Q451" t="s">
        <v>21</v>
      </c>
    </row>
    <row r="452" spans="1:17" x14ac:dyDescent="0.25">
      <c r="A452" t="s">
        <v>2539</v>
      </c>
      <c r="B452" t="s">
        <v>2540</v>
      </c>
      <c r="C452" t="s">
        <v>1622</v>
      </c>
      <c r="D452">
        <v>40.215600000000002</v>
      </c>
      <c r="E452">
        <v>-109.78279999999999</v>
      </c>
      <c r="F452">
        <v>4756.1000000000004</v>
      </c>
      <c r="G452" t="s">
        <v>1576</v>
      </c>
      <c r="K452">
        <v>0</v>
      </c>
      <c r="O452" t="s">
        <v>51</v>
      </c>
      <c r="Q452" t="s">
        <v>2284</v>
      </c>
    </row>
    <row r="453" spans="1:17" x14ac:dyDescent="0.25">
      <c r="A453" t="s">
        <v>1680</v>
      </c>
      <c r="B453" t="s">
        <v>1681</v>
      </c>
      <c r="C453" t="s">
        <v>1622</v>
      </c>
      <c r="D453">
        <v>40.180680000000002</v>
      </c>
      <c r="E453">
        <v>-110.36013</v>
      </c>
      <c r="F453">
        <v>1675</v>
      </c>
      <c r="G453" t="s">
        <v>1576</v>
      </c>
      <c r="J453" t="s">
        <v>1577</v>
      </c>
      <c r="K453">
        <v>0</v>
      </c>
      <c r="L453" t="s">
        <v>1578</v>
      </c>
      <c r="O453" t="s">
        <v>151</v>
      </c>
      <c r="P453" t="s">
        <v>1585</v>
      </c>
      <c r="Q453" t="s">
        <v>1580</v>
      </c>
    </row>
    <row r="454" spans="1:17" x14ac:dyDescent="0.25">
      <c r="A454" t="s">
        <v>477</v>
      </c>
      <c r="B454" t="s">
        <v>478</v>
      </c>
      <c r="C454" t="s">
        <v>26</v>
      </c>
      <c r="D454">
        <v>42.462499999999999</v>
      </c>
      <c r="E454">
        <v>-102.92361</v>
      </c>
      <c r="K454">
        <v>0</v>
      </c>
      <c r="O454" t="s">
        <v>20</v>
      </c>
      <c r="Q454" t="s">
        <v>21</v>
      </c>
    </row>
    <row r="455" spans="1:17" x14ac:dyDescent="0.25">
      <c r="A455" t="s">
        <v>465</v>
      </c>
      <c r="B455" t="s">
        <v>466</v>
      </c>
      <c r="C455" t="s">
        <v>41</v>
      </c>
      <c r="D455">
        <v>48.066670000000002</v>
      </c>
      <c r="E455">
        <v>-112.75</v>
      </c>
      <c r="F455">
        <v>5750</v>
      </c>
      <c r="K455">
        <v>0</v>
      </c>
      <c r="O455" t="s">
        <v>57</v>
      </c>
      <c r="Q455" t="s">
        <v>21</v>
      </c>
    </row>
    <row r="456" spans="1:17" x14ac:dyDescent="0.25">
      <c r="A456" t="s">
        <v>1670</v>
      </c>
      <c r="B456" t="s">
        <v>1671</v>
      </c>
      <c r="C456" t="s">
        <v>410</v>
      </c>
      <c r="D456">
        <v>46.623330000000003</v>
      </c>
      <c r="E456">
        <v>-116.22055</v>
      </c>
      <c r="F456">
        <v>499.87</v>
      </c>
      <c r="G456" t="s">
        <v>1576</v>
      </c>
      <c r="H456" s="1">
        <v>37365</v>
      </c>
      <c r="J456" t="s">
        <v>1577</v>
      </c>
      <c r="K456">
        <v>0</v>
      </c>
      <c r="L456" t="s">
        <v>1578</v>
      </c>
      <c r="O456" t="s">
        <v>151</v>
      </c>
      <c r="P456" t="s">
        <v>1585</v>
      </c>
      <c r="Q456" t="s">
        <v>1580</v>
      </c>
    </row>
    <row r="457" spans="1:17" x14ac:dyDescent="0.25">
      <c r="A457" t="s">
        <v>481</v>
      </c>
      <c r="B457" t="s">
        <v>482</v>
      </c>
      <c r="C457" t="s">
        <v>483</v>
      </c>
      <c r="D457">
        <v>46.869720000000001</v>
      </c>
      <c r="E457">
        <v>-102.82693999999999</v>
      </c>
      <c r="K457">
        <v>0</v>
      </c>
      <c r="O457" t="s">
        <v>30</v>
      </c>
      <c r="P457" t="s">
        <v>31</v>
      </c>
      <c r="Q457" t="s">
        <v>21</v>
      </c>
    </row>
    <row r="458" spans="1:17" x14ac:dyDescent="0.25">
      <c r="A458" t="s">
        <v>2541</v>
      </c>
      <c r="B458" t="s">
        <v>2542</v>
      </c>
      <c r="C458" t="s">
        <v>2283</v>
      </c>
      <c r="D458">
        <v>32.845799999999997</v>
      </c>
      <c r="E458">
        <v>-104.40389999999999</v>
      </c>
      <c r="G458" t="s">
        <v>1576</v>
      </c>
      <c r="K458">
        <v>0</v>
      </c>
      <c r="O458" t="s">
        <v>51</v>
      </c>
      <c r="Q458" t="s">
        <v>2284</v>
      </c>
    </row>
    <row r="459" spans="1:17" x14ac:dyDescent="0.25">
      <c r="A459" t="s">
        <v>2067</v>
      </c>
      <c r="B459" t="s">
        <v>2068</v>
      </c>
      <c r="C459" t="s">
        <v>1643</v>
      </c>
      <c r="D459">
        <v>33.799999999999997</v>
      </c>
      <c r="E459">
        <v>-114.35</v>
      </c>
      <c r="G459" t="s">
        <v>1589</v>
      </c>
      <c r="K459">
        <v>0</v>
      </c>
      <c r="O459" t="s">
        <v>20</v>
      </c>
      <c r="Q459" t="s">
        <v>1988</v>
      </c>
    </row>
    <row r="460" spans="1:17" x14ac:dyDescent="0.25">
      <c r="A460" t="s">
        <v>2545</v>
      </c>
      <c r="B460" t="s">
        <v>2546</v>
      </c>
      <c r="C460" t="s">
        <v>1622</v>
      </c>
      <c r="D460">
        <v>40.7239</v>
      </c>
      <c r="E460">
        <v>-111.5189</v>
      </c>
      <c r="G460" t="s">
        <v>1576</v>
      </c>
      <c r="K460">
        <v>0</v>
      </c>
      <c r="O460" t="s">
        <v>51</v>
      </c>
      <c r="Q460" t="s">
        <v>2284</v>
      </c>
    </row>
    <row r="461" spans="1:17" x14ac:dyDescent="0.25">
      <c r="A461" t="s">
        <v>2543</v>
      </c>
      <c r="B461" t="s">
        <v>2544</v>
      </c>
      <c r="C461" t="s">
        <v>1622</v>
      </c>
      <c r="D461">
        <v>40.551400000000001</v>
      </c>
      <c r="E461">
        <v>-111.36</v>
      </c>
      <c r="F461">
        <v>5903</v>
      </c>
      <c r="G461" t="s">
        <v>1576</v>
      </c>
      <c r="K461">
        <v>0</v>
      </c>
      <c r="O461" t="s">
        <v>30</v>
      </c>
      <c r="Q461" t="s">
        <v>2284</v>
      </c>
    </row>
    <row r="462" spans="1:17" x14ac:dyDescent="0.25">
      <c r="A462" t="s">
        <v>2547</v>
      </c>
      <c r="B462" t="s">
        <v>2548</v>
      </c>
      <c r="C462" t="s">
        <v>19</v>
      </c>
      <c r="D462">
        <v>37.369399999999999</v>
      </c>
      <c r="E462">
        <v>-106.8917</v>
      </c>
      <c r="F462">
        <v>7597.63</v>
      </c>
      <c r="G462" t="s">
        <v>1576</v>
      </c>
      <c r="K462">
        <v>0</v>
      </c>
      <c r="O462" t="s">
        <v>51</v>
      </c>
      <c r="Q462" t="s">
        <v>2284</v>
      </c>
    </row>
    <row r="463" spans="1:17" x14ac:dyDescent="0.25">
      <c r="A463" t="s">
        <v>2549</v>
      </c>
      <c r="B463" t="s">
        <v>2550</v>
      </c>
      <c r="C463" t="s">
        <v>19</v>
      </c>
      <c r="D463">
        <v>37.3703</v>
      </c>
      <c r="E463">
        <v>-108.2308</v>
      </c>
      <c r="F463">
        <v>7475</v>
      </c>
      <c r="G463" t="s">
        <v>1576</v>
      </c>
      <c r="K463">
        <v>0</v>
      </c>
      <c r="O463" t="s">
        <v>51</v>
      </c>
      <c r="Q463" t="s">
        <v>2284</v>
      </c>
    </row>
    <row r="464" spans="1:17" x14ac:dyDescent="0.25">
      <c r="A464" t="s">
        <v>2551</v>
      </c>
      <c r="B464" t="s">
        <v>2552</v>
      </c>
      <c r="C464" t="s">
        <v>19</v>
      </c>
      <c r="D464">
        <v>39.636099999999999</v>
      </c>
      <c r="E464">
        <v>-107.7347</v>
      </c>
      <c r="G464" t="s">
        <v>1576</v>
      </c>
      <c r="K464">
        <v>0</v>
      </c>
      <c r="O464" t="s">
        <v>51</v>
      </c>
      <c r="Q464" t="s">
        <v>2284</v>
      </c>
    </row>
    <row r="465" spans="1:17" x14ac:dyDescent="0.25">
      <c r="A465" t="s">
        <v>2553</v>
      </c>
      <c r="B465" t="s">
        <v>2554</v>
      </c>
      <c r="C465" t="s">
        <v>37</v>
      </c>
      <c r="D465">
        <v>43.133299999999998</v>
      </c>
      <c r="E465">
        <v>-110.2</v>
      </c>
      <c r="F465">
        <v>7930</v>
      </c>
      <c r="G465" t="s">
        <v>1576</v>
      </c>
      <c r="K465">
        <v>0</v>
      </c>
      <c r="O465" t="s">
        <v>57</v>
      </c>
      <c r="Q465" t="s">
        <v>2284</v>
      </c>
    </row>
    <row r="466" spans="1:17" x14ac:dyDescent="0.25">
      <c r="A466" t="s">
        <v>2555</v>
      </c>
      <c r="B466" t="s">
        <v>2556</v>
      </c>
      <c r="C466" t="s">
        <v>19</v>
      </c>
      <c r="D466">
        <v>38.664400000000001</v>
      </c>
      <c r="E466">
        <v>-106.8475</v>
      </c>
      <c r="F466">
        <v>8006.29</v>
      </c>
      <c r="G466" t="s">
        <v>1576</v>
      </c>
      <c r="K466">
        <v>0</v>
      </c>
      <c r="O466" t="s">
        <v>51</v>
      </c>
      <c r="Q466" t="s">
        <v>2284</v>
      </c>
    </row>
    <row r="467" spans="1:17" x14ac:dyDescent="0.25">
      <c r="A467" t="s">
        <v>2557</v>
      </c>
      <c r="B467" t="s">
        <v>2558</v>
      </c>
      <c r="C467" t="s">
        <v>1622</v>
      </c>
      <c r="D467">
        <v>39.316699999999997</v>
      </c>
      <c r="E467">
        <v>-109.5167</v>
      </c>
      <c r="F467">
        <v>8250</v>
      </c>
      <c r="G467" t="s">
        <v>1576</v>
      </c>
      <c r="K467">
        <v>0</v>
      </c>
      <c r="O467" t="s">
        <v>57</v>
      </c>
      <c r="Q467" t="s">
        <v>2284</v>
      </c>
    </row>
    <row r="468" spans="1:17" x14ac:dyDescent="0.25">
      <c r="A468" t="s">
        <v>2559</v>
      </c>
      <c r="B468" t="s">
        <v>2560</v>
      </c>
      <c r="C468" t="s">
        <v>1622</v>
      </c>
      <c r="D468">
        <v>40.575000000000003</v>
      </c>
      <c r="E468">
        <v>-111.2555</v>
      </c>
      <c r="F468">
        <v>5560</v>
      </c>
      <c r="G468" t="s">
        <v>1576</v>
      </c>
      <c r="K468">
        <v>0</v>
      </c>
      <c r="O468" t="s">
        <v>30</v>
      </c>
      <c r="Q468" t="s">
        <v>2284</v>
      </c>
    </row>
    <row r="469" spans="1:17" x14ac:dyDescent="0.25">
      <c r="A469" t="s">
        <v>1686</v>
      </c>
      <c r="B469" t="s">
        <v>1687</v>
      </c>
      <c r="C469" t="s">
        <v>1588</v>
      </c>
      <c r="D469">
        <v>45.718609999999998</v>
      </c>
      <c r="E469">
        <v>-119.31111</v>
      </c>
      <c r="F469">
        <v>231.65</v>
      </c>
      <c r="G469" t="s">
        <v>1589</v>
      </c>
      <c r="H469" s="1">
        <v>32203</v>
      </c>
      <c r="J469" t="s">
        <v>1577</v>
      </c>
      <c r="K469">
        <v>0</v>
      </c>
      <c r="L469" t="s">
        <v>1578</v>
      </c>
      <c r="O469" t="s">
        <v>151</v>
      </c>
      <c r="P469" t="s">
        <v>1585</v>
      </c>
      <c r="Q469" t="s">
        <v>1580</v>
      </c>
    </row>
    <row r="470" spans="1:17" x14ac:dyDescent="0.25">
      <c r="A470" t="s">
        <v>2561</v>
      </c>
      <c r="B470" t="s">
        <v>2562</v>
      </c>
      <c r="C470" t="s">
        <v>37</v>
      </c>
      <c r="D470">
        <v>42.43</v>
      </c>
      <c r="E470">
        <v>-109.22</v>
      </c>
      <c r="F470">
        <v>6715.2</v>
      </c>
      <c r="G470" t="s">
        <v>1576</v>
      </c>
      <c r="K470">
        <v>0</v>
      </c>
      <c r="O470" t="s">
        <v>30</v>
      </c>
      <c r="Q470" t="s">
        <v>2284</v>
      </c>
    </row>
    <row r="471" spans="1:17" x14ac:dyDescent="0.25">
      <c r="A471" t="s">
        <v>2563</v>
      </c>
      <c r="B471" t="s">
        <v>2564</v>
      </c>
      <c r="C471" t="s">
        <v>19</v>
      </c>
      <c r="D471">
        <v>37.389699999999998</v>
      </c>
      <c r="E471">
        <v>-106.84059999999999</v>
      </c>
      <c r="F471">
        <v>7940</v>
      </c>
      <c r="G471" t="s">
        <v>1576</v>
      </c>
      <c r="K471">
        <v>0</v>
      </c>
      <c r="O471" t="s">
        <v>51</v>
      </c>
      <c r="Q471" t="s">
        <v>2284</v>
      </c>
    </row>
    <row r="472" spans="1:17" x14ac:dyDescent="0.25">
      <c r="A472" t="s">
        <v>2069</v>
      </c>
      <c r="B472" t="s">
        <v>2070</v>
      </c>
      <c r="C472" t="s">
        <v>1987</v>
      </c>
      <c r="D472">
        <v>33.799999999999997</v>
      </c>
      <c r="E472">
        <v>-114.3</v>
      </c>
      <c r="G472" t="s">
        <v>1576</v>
      </c>
      <c r="K472">
        <v>0</v>
      </c>
      <c r="O472" t="s">
        <v>20</v>
      </c>
      <c r="Q472" t="s">
        <v>1988</v>
      </c>
    </row>
    <row r="473" spans="1:17" x14ac:dyDescent="0.25">
      <c r="A473" t="s">
        <v>2565</v>
      </c>
      <c r="B473" t="s">
        <v>2566</v>
      </c>
      <c r="C473" t="s">
        <v>19</v>
      </c>
      <c r="D473">
        <v>37.783299999999997</v>
      </c>
      <c r="E473">
        <v>-108.0167</v>
      </c>
      <c r="F473">
        <v>10200</v>
      </c>
      <c r="G473" t="s">
        <v>1576</v>
      </c>
      <c r="K473">
        <v>0</v>
      </c>
      <c r="O473" t="s">
        <v>57</v>
      </c>
      <c r="Q473" t="s">
        <v>2284</v>
      </c>
    </row>
    <row r="474" spans="1:17" x14ac:dyDescent="0.25">
      <c r="A474" t="s">
        <v>2583</v>
      </c>
      <c r="B474" t="s">
        <v>2584</v>
      </c>
      <c r="C474" t="s">
        <v>2283</v>
      </c>
      <c r="D474">
        <v>36.594200000000001</v>
      </c>
      <c r="E474">
        <v>-106.7333</v>
      </c>
      <c r="F474">
        <v>6945</v>
      </c>
      <c r="G474" t="s">
        <v>1576</v>
      </c>
      <c r="K474">
        <v>0</v>
      </c>
      <c r="O474" t="s">
        <v>30</v>
      </c>
      <c r="Q474" t="s">
        <v>2284</v>
      </c>
    </row>
    <row r="475" spans="1:17" x14ac:dyDescent="0.25">
      <c r="A475" t="s">
        <v>2567</v>
      </c>
      <c r="B475" t="s">
        <v>2568</v>
      </c>
      <c r="C475" t="s">
        <v>2283</v>
      </c>
      <c r="D475">
        <v>33.148299999999999</v>
      </c>
      <c r="E475">
        <v>-107.20610000000001</v>
      </c>
      <c r="F475">
        <v>4241.09</v>
      </c>
      <c r="G475" t="s">
        <v>1576</v>
      </c>
      <c r="K475">
        <v>0</v>
      </c>
      <c r="O475" t="s">
        <v>30</v>
      </c>
      <c r="Q475" t="s">
        <v>2284</v>
      </c>
    </row>
    <row r="476" spans="1:17" x14ac:dyDescent="0.25">
      <c r="A476" t="s">
        <v>2569</v>
      </c>
      <c r="B476" t="s">
        <v>2570</v>
      </c>
      <c r="C476" t="s">
        <v>2283</v>
      </c>
      <c r="D476">
        <v>35.704000000000001</v>
      </c>
      <c r="E476">
        <v>-105.8068</v>
      </c>
      <c r="F476">
        <v>8210</v>
      </c>
      <c r="G476" t="s">
        <v>1576</v>
      </c>
      <c r="K476">
        <v>0</v>
      </c>
      <c r="O476" t="s">
        <v>57</v>
      </c>
      <c r="Q476" t="s">
        <v>2284</v>
      </c>
    </row>
    <row r="477" spans="1:17" x14ac:dyDescent="0.25">
      <c r="A477" t="s">
        <v>1454</v>
      </c>
      <c r="B477" t="s">
        <v>1455</v>
      </c>
      <c r="C477" t="s">
        <v>47</v>
      </c>
      <c r="D477">
        <v>35.416670000000003</v>
      </c>
      <c r="E477">
        <v>-99.416659999999993</v>
      </c>
      <c r="F477">
        <v>1948</v>
      </c>
      <c r="K477">
        <v>0</v>
      </c>
      <c r="O477" t="s">
        <v>118</v>
      </c>
      <c r="Q477" t="s">
        <v>21</v>
      </c>
    </row>
    <row r="478" spans="1:17" x14ac:dyDescent="0.25">
      <c r="A478" t="s">
        <v>2581</v>
      </c>
      <c r="B478" t="s">
        <v>2582</v>
      </c>
      <c r="C478" t="s">
        <v>19</v>
      </c>
      <c r="D478">
        <v>40.85</v>
      </c>
      <c r="E478">
        <v>-106.9667</v>
      </c>
      <c r="F478">
        <v>8700</v>
      </c>
      <c r="G478" t="s">
        <v>1576</v>
      </c>
      <c r="K478">
        <v>0</v>
      </c>
      <c r="O478" t="s">
        <v>57</v>
      </c>
      <c r="Q478" t="s">
        <v>2284</v>
      </c>
    </row>
    <row r="479" spans="1:17" x14ac:dyDescent="0.25">
      <c r="A479" t="s">
        <v>2577</v>
      </c>
      <c r="B479" t="s">
        <v>2578</v>
      </c>
      <c r="C479" t="s">
        <v>19</v>
      </c>
      <c r="D479">
        <v>40.717500000000001</v>
      </c>
      <c r="E479">
        <v>-106.9153</v>
      </c>
      <c r="F479">
        <v>7267.75</v>
      </c>
      <c r="G479" t="s">
        <v>1576</v>
      </c>
      <c r="K479">
        <v>0</v>
      </c>
      <c r="O479" t="s">
        <v>51</v>
      </c>
      <c r="Q479" t="s">
        <v>2284</v>
      </c>
    </row>
    <row r="480" spans="1:17" x14ac:dyDescent="0.25">
      <c r="A480" t="s">
        <v>2579</v>
      </c>
      <c r="B480" t="s">
        <v>2580</v>
      </c>
      <c r="C480" t="s">
        <v>19</v>
      </c>
      <c r="D480">
        <v>40.514400000000002</v>
      </c>
      <c r="E480">
        <v>-107.0467</v>
      </c>
      <c r="G480" t="s">
        <v>1576</v>
      </c>
      <c r="K480">
        <v>0</v>
      </c>
      <c r="O480" t="s">
        <v>51</v>
      </c>
      <c r="Q480" t="s">
        <v>2284</v>
      </c>
    </row>
    <row r="481" spans="1:17" x14ac:dyDescent="0.25">
      <c r="A481" t="s">
        <v>492</v>
      </c>
      <c r="B481" t="s">
        <v>493</v>
      </c>
      <c r="C481" t="s">
        <v>19</v>
      </c>
      <c r="D481">
        <v>40.85</v>
      </c>
      <c r="E481">
        <v>-106.96666999999999</v>
      </c>
      <c r="F481">
        <v>8700</v>
      </c>
      <c r="K481">
        <v>0</v>
      </c>
      <c r="O481" t="s">
        <v>57</v>
      </c>
      <c r="Q481" t="s">
        <v>21</v>
      </c>
    </row>
    <row r="482" spans="1:17" x14ac:dyDescent="0.25">
      <c r="A482" t="s">
        <v>490</v>
      </c>
      <c r="B482" t="s">
        <v>491</v>
      </c>
      <c r="C482" t="s">
        <v>37</v>
      </c>
      <c r="D482">
        <v>43</v>
      </c>
      <c r="E482">
        <v>-109.75</v>
      </c>
      <c r="F482">
        <v>9400</v>
      </c>
      <c r="K482">
        <v>0</v>
      </c>
      <c r="O482" t="s">
        <v>57</v>
      </c>
      <c r="Q482" t="s">
        <v>21</v>
      </c>
    </row>
    <row r="483" spans="1:17" x14ac:dyDescent="0.25">
      <c r="A483" t="s">
        <v>2571</v>
      </c>
      <c r="B483" t="s">
        <v>2572</v>
      </c>
      <c r="C483" t="s">
        <v>37</v>
      </c>
      <c r="D483">
        <v>43</v>
      </c>
      <c r="E483">
        <v>-109.75</v>
      </c>
      <c r="F483">
        <v>9400</v>
      </c>
      <c r="G483" t="s">
        <v>1576</v>
      </c>
      <c r="K483">
        <v>0</v>
      </c>
      <c r="O483" t="s">
        <v>57</v>
      </c>
      <c r="Q483" t="s">
        <v>2284</v>
      </c>
    </row>
    <row r="484" spans="1:17" x14ac:dyDescent="0.25">
      <c r="A484" t="s">
        <v>2573</v>
      </c>
      <c r="B484" t="s">
        <v>2574</v>
      </c>
      <c r="C484" t="s">
        <v>19</v>
      </c>
      <c r="D484">
        <v>40.591700000000003</v>
      </c>
      <c r="E484">
        <v>-107.3203</v>
      </c>
      <c r="F484">
        <v>6405</v>
      </c>
      <c r="G484" t="s">
        <v>1576</v>
      </c>
      <c r="K484">
        <v>0</v>
      </c>
      <c r="O484" t="s">
        <v>51</v>
      </c>
      <c r="Q484" t="s">
        <v>2284</v>
      </c>
    </row>
    <row r="485" spans="1:17" x14ac:dyDescent="0.25">
      <c r="A485" t="s">
        <v>2575</v>
      </c>
      <c r="B485" t="s">
        <v>2576</v>
      </c>
      <c r="C485" t="s">
        <v>19</v>
      </c>
      <c r="D485">
        <v>40.541899999999998</v>
      </c>
      <c r="E485">
        <v>-107.3972</v>
      </c>
      <c r="F485">
        <v>6250</v>
      </c>
      <c r="G485" t="s">
        <v>1576</v>
      </c>
      <c r="K485">
        <v>0</v>
      </c>
      <c r="O485" t="s">
        <v>51</v>
      </c>
      <c r="Q485" t="s">
        <v>2284</v>
      </c>
    </row>
    <row r="486" spans="1:17" x14ac:dyDescent="0.25">
      <c r="A486" t="s">
        <v>626</v>
      </c>
      <c r="B486" t="s">
        <v>627</v>
      </c>
      <c r="C486" t="s">
        <v>19</v>
      </c>
      <c r="D486">
        <v>39.87444</v>
      </c>
      <c r="E486">
        <v>-106.32916</v>
      </c>
      <c r="K486">
        <v>0</v>
      </c>
      <c r="O486" t="s">
        <v>20</v>
      </c>
      <c r="Q486" t="s">
        <v>21</v>
      </c>
    </row>
    <row r="487" spans="1:17" x14ac:dyDescent="0.25">
      <c r="A487" t="s">
        <v>484</v>
      </c>
      <c r="B487" t="s">
        <v>485</v>
      </c>
      <c r="C487" t="s">
        <v>26</v>
      </c>
      <c r="D487">
        <v>40.090829999999997</v>
      </c>
      <c r="E487">
        <v>-98.436109999999999</v>
      </c>
      <c r="K487">
        <v>0</v>
      </c>
      <c r="O487" t="s">
        <v>51</v>
      </c>
      <c r="Q487" t="s">
        <v>21</v>
      </c>
    </row>
    <row r="488" spans="1:17" x14ac:dyDescent="0.25">
      <c r="A488" t="s">
        <v>1690</v>
      </c>
      <c r="B488" t="s">
        <v>1691</v>
      </c>
      <c r="C488" t="s">
        <v>1622</v>
      </c>
      <c r="D488">
        <v>39.421264999999998</v>
      </c>
      <c r="E488">
        <v>-110.83798</v>
      </c>
      <c r="F488">
        <v>1744</v>
      </c>
      <c r="G488" t="s">
        <v>1576</v>
      </c>
      <c r="H488" s="1">
        <v>41976</v>
      </c>
      <c r="J488" t="s">
        <v>1577</v>
      </c>
      <c r="K488">
        <v>0</v>
      </c>
      <c r="L488" t="s">
        <v>1578</v>
      </c>
      <c r="O488" t="s">
        <v>151</v>
      </c>
      <c r="P488" t="s">
        <v>1585</v>
      </c>
      <c r="Q488" t="s">
        <v>1580</v>
      </c>
    </row>
    <row r="489" spans="1:17" x14ac:dyDescent="0.25">
      <c r="A489" t="s">
        <v>2585</v>
      </c>
      <c r="B489" t="s">
        <v>2586</v>
      </c>
      <c r="C489" t="s">
        <v>2283</v>
      </c>
      <c r="D489">
        <v>36.210799999999999</v>
      </c>
      <c r="E489">
        <v>-105.9131</v>
      </c>
      <c r="G489" t="s">
        <v>1576</v>
      </c>
      <c r="K489">
        <v>0</v>
      </c>
      <c r="O489" t="s">
        <v>51</v>
      </c>
      <c r="Q489" t="s">
        <v>2284</v>
      </c>
    </row>
    <row r="490" spans="1:17" x14ac:dyDescent="0.25">
      <c r="A490" t="s">
        <v>494</v>
      </c>
      <c r="B490" t="s">
        <v>495</v>
      </c>
      <c r="C490" t="s">
        <v>41</v>
      </c>
      <c r="D490">
        <v>48.433329999999998</v>
      </c>
      <c r="E490">
        <v>-113.95</v>
      </c>
      <c r="F490">
        <v>4350</v>
      </c>
      <c r="K490">
        <v>0</v>
      </c>
      <c r="O490" t="s">
        <v>57</v>
      </c>
      <c r="Q490" t="s">
        <v>21</v>
      </c>
    </row>
    <row r="491" spans="1:17" x14ac:dyDescent="0.25">
      <c r="A491" t="s">
        <v>488</v>
      </c>
      <c r="B491" t="s">
        <v>489</v>
      </c>
      <c r="C491" t="s">
        <v>26</v>
      </c>
      <c r="D491">
        <v>40.421669999999999</v>
      </c>
      <c r="E491">
        <v>-101.5175</v>
      </c>
      <c r="K491">
        <v>0</v>
      </c>
      <c r="O491" t="s">
        <v>30</v>
      </c>
      <c r="P491" t="s">
        <v>107</v>
      </c>
      <c r="Q491" t="s">
        <v>21</v>
      </c>
    </row>
    <row r="492" spans="1:17" x14ac:dyDescent="0.25">
      <c r="A492" t="s">
        <v>1688</v>
      </c>
      <c r="B492" t="s">
        <v>1689</v>
      </c>
      <c r="C492" t="s">
        <v>1628</v>
      </c>
      <c r="D492">
        <v>47.697960000000002</v>
      </c>
      <c r="E492">
        <v>-120.32373</v>
      </c>
      <c r="F492">
        <v>315</v>
      </c>
      <c r="G492" t="s">
        <v>1589</v>
      </c>
      <c r="H492" s="1">
        <v>41543</v>
      </c>
      <c r="J492" t="s">
        <v>1577</v>
      </c>
      <c r="K492">
        <v>0</v>
      </c>
      <c r="L492" t="s">
        <v>1578</v>
      </c>
      <c r="O492" t="s">
        <v>151</v>
      </c>
      <c r="P492" t="s">
        <v>1585</v>
      </c>
      <c r="Q492" t="s">
        <v>1580</v>
      </c>
    </row>
    <row r="493" spans="1:17" x14ac:dyDescent="0.25">
      <c r="A493" t="s">
        <v>1524</v>
      </c>
      <c r="B493" t="s">
        <v>1525</v>
      </c>
      <c r="C493" t="s">
        <v>47</v>
      </c>
      <c r="D493">
        <v>35.216670000000001</v>
      </c>
      <c r="E493">
        <v>-99.866669999999999</v>
      </c>
      <c r="F493">
        <v>2028</v>
      </c>
      <c r="K493">
        <v>0</v>
      </c>
      <c r="O493" t="s">
        <v>118</v>
      </c>
      <c r="Q493" t="s">
        <v>21</v>
      </c>
    </row>
    <row r="494" spans="1:17" x14ac:dyDescent="0.25">
      <c r="A494" t="s">
        <v>1692</v>
      </c>
      <c r="B494" t="s">
        <v>1693</v>
      </c>
      <c r="C494" t="s">
        <v>1604</v>
      </c>
      <c r="D494">
        <v>39.685270000000003</v>
      </c>
      <c r="E494">
        <v>-115.97861</v>
      </c>
      <c r="F494">
        <v>1797.41</v>
      </c>
      <c r="G494" t="s">
        <v>1589</v>
      </c>
      <c r="H494" s="1">
        <v>31929</v>
      </c>
      <c r="J494" t="s">
        <v>1577</v>
      </c>
      <c r="K494">
        <v>0</v>
      </c>
      <c r="L494" t="s">
        <v>1578</v>
      </c>
      <c r="O494" t="s">
        <v>151</v>
      </c>
      <c r="P494" t="s">
        <v>1585</v>
      </c>
      <c r="Q494" t="s">
        <v>1580</v>
      </c>
    </row>
    <row r="495" spans="1:17" x14ac:dyDescent="0.25">
      <c r="A495" t="s">
        <v>1696</v>
      </c>
      <c r="B495" t="s">
        <v>1697</v>
      </c>
      <c r="C495" t="s">
        <v>37</v>
      </c>
      <c r="D495">
        <v>41.197130000000001</v>
      </c>
      <c r="E495">
        <v>-111.02937</v>
      </c>
      <c r="F495">
        <v>2080</v>
      </c>
      <c r="G495" t="s">
        <v>1576</v>
      </c>
      <c r="H495" s="1">
        <v>42072</v>
      </c>
      <c r="K495">
        <v>0</v>
      </c>
      <c r="O495" t="s">
        <v>151</v>
      </c>
      <c r="P495" t="s">
        <v>1585</v>
      </c>
      <c r="Q495" t="s">
        <v>1580</v>
      </c>
    </row>
    <row r="496" spans="1:17" x14ac:dyDescent="0.25">
      <c r="A496" t="s">
        <v>500</v>
      </c>
      <c r="B496" t="s">
        <v>501</v>
      </c>
      <c r="C496" t="s">
        <v>37</v>
      </c>
      <c r="D496">
        <v>44.65</v>
      </c>
      <c r="E496">
        <v>-109.78333000000001</v>
      </c>
      <c r="F496">
        <v>9200</v>
      </c>
      <c r="K496">
        <v>0</v>
      </c>
      <c r="O496" t="s">
        <v>57</v>
      </c>
      <c r="Q496" t="s">
        <v>21</v>
      </c>
    </row>
    <row r="497" spans="1:17" x14ac:dyDescent="0.25">
      <c r="A497" t="s">
        <v>502</v>
      </c>
      <c r="B497" t="s">
        <v>503</v>
      </c>
      <c r="C497" t="s">
        <v>19</v>
      </c>
      <c r="D497">
        <v>39.361109999999996</v>
      </c>
      <c r="E497">
        <v>-106.30611</v>
      </c>
      <c r="K497">
        <v>0</v>
      </c>
      <c r="O497" t="s">
        <v>34</v>
      </c>
      <c r="Q497" t="s">
        <v>21</v>
      </c>
    </row>
    <row r="498" spans="1:17" x14ac:dyDescent="0.25">
      <c r="A498" t="s">
        <v>1698</v>
      </c>
      <c r="B498" t="s">
        <v>1699</v>
      </c>
      <c r="C498" t="s">
        <v>410</v>
      </c>
      <c r="D498">
        <v>43.313049999999997</v>
      </c>
      <c r="E498">
        <v>-114.82222</v>
      </c>
      <c r="F498">
        <v>1535.58</v>
      </c>
      <c r="G498" t="s">
        <v>1576</v>
      </c>
      <c r="H498" s="1">
        <v>31929</v>
      </c>
      <c r="J498" t="s">
        <v>1577</v>
      </c>
      <c r="K498">
        <v>0</v>
      </c>
      <c r="L498" t="s">
        <v>1578</v>
      </c>
      <c r="O498" t="s">
        <v>151</v>
      </c>
      <c r="P498" t="s">
        <v>1585</v>
      </c>
      <c r="Q498" t="s">
        <v>1580</v>
      </c>
    </row>
    <row r="499" spans="1:17" x14ac:dyDescent="0.25">
      <c r="A499" t="s">
        <v>2587</v>
      </c>
      <c r="B499" t="s">
        <v>2588</v>
      </c>
      <c r="C499" t="s">
        <v>2283</v>
      </c>
      <c r="D499">
        <v>36.017499999999998</v>
      </c>
      <c r="E499">
        <v>-107.9178</v>
      </c>
      <c r="F499">
        <v>0</v>
      </c>
      <c r="G499" t="s">
        <v>1576</v>
      </c>
      <c r="K499">
        <v>0</v>
      </c>
      <c r="O499" t="s">
        <v>51</v>
      </c>
      <c r="Q499" t="s">
        <v>2284</v>
      </c>
    </row>
    <row r="500" spans="1:17" x14ac:dyDescent="0.25">
      <c r="A500" t="s">
        <v>2589</v>
      </c>
      <c r="B500" t="s">
        <v>2590</v>
      </c>
      <c r="C500" t="s">
        <v>19</v>
      </c>
      <c r="D500">
        <v>37.958300000000001</v>
      </c>
      <c r="E500">
        <v>-108.00530000000001</v>
      </c>
      <c r="F500">
        <v>7928.79</v>
      </c>
      <c r="G500" t="s">
        <v>1576</v>
      </c>
      <c r="K500">
        <v>0</v>
      </c>
      <c r="O500" t="s">
        <v>51</v>
      </c>
      <c r="Q500" t="s">
        <v>2284</v>
      </c>
    </row>
    <row r="501" spans="1:17" x14ac:dyDescent="0.25">
      <c r="A501" t="s">
        <v>1700</v>
      </c>
      <c r="B501" t="s">
        <v>1701</v>
      </c>
      <c r="C501" t="s">
        <v>1604</v>
      </c>
      <c r="D501">
        <v>39.457500000000003</v>
      </c>
      <c r="E501">
        <v>-118.77388000000001</v>
      </c>
      <c r="F501">
        <v>1208.53</v>
      </c>
      <c r="G501" t="s">
        <v>1589</v>
      </c>
      <c r="H501" s="1">
        <v>36982</v>
      </c>
      <c r="J501" t="s">
        <v>1577</v>
      </c>
      <c r="K501">
        <v>0</v>
      </c>
      <c r="L501" t="s">
        <v>1578</v>
      </c>
      <c r="O501" t="s">
        <v>151</v>
      </c>
      <c r="P501" t="s">
        <v>1585</v>
      </c>
      <c r="Q501" t="s">
        <v>1580</v>
      </c>
    </row>
    <row r="502" spans="1:17" x14ac:dyDescent="0.25">
      <c r="A502" t="s">
        <v>2591</v>
      </c>
      <c r="B502" t="s">
        <v>2592</v>
      </c>
      <c r="C502" t="s">
        <v>19</v>
      </c>
      <c r="D502">
        <v>37.367199999999997</v>
      </c>
      <c r="E502">
        <v>-107.86579999999999</v>
      </c>
      <c r="F502">
        <v>7080</v>
      </c>
      <c r="G502" t="s">
        <v>1576</v>
      </c>
      <c r="K502">
        <v>0</v>
      </c>
      <c r="O502" t="s">
        <v>51</v>
      </c>
      <c r="Q502" t="s">
        <v>2284</v>
      </c>
    </row>
    <row r="503" spans="1:17" x14ac:dyDescent="0.25">
      <c r="A503" t="s">
        <v>2595</v>
      </c>
      <c r="B503" t="s">
        <v>2596</v>
      </c>
      <c r="C503" t="s">
        <v>1622</v>
      </c>
      <c r="D503">
        <v>40.966700000000003</v>
      </c>
      <c r="E503">
        <v>-111.8</v>
      </c>
      <c r="F503">
        <v>8000</v>
      </c>
      <c r="G503" t="s">
        <v>1576</v>
      </c>
      <c r="K503">
        <v>0</v>
      </c>
      <c r="O503" t="s">
        <v>57</v>
      </c>
      <c r="Q503" t="s">
        <v>2284</v>
      </c>
    </row>
    <row r="504" spans="1:17" x14ac:dyDescent="0.25">
      <c r="A504" t="s">
        <v>2593</v>
      </c>
      <c r="B504" t="s">
        <v>2594</v>
      </c>
      <c r="C504" t="s">
        <v>1622</v>
      </c>
      <c r="D504">
        <v>40.991999999999997</v>
      </c>
      <c r="E504">
        <v>-111.81699999999999</v>
      </c>
      <c r="F504">
        <v>6779</v>
      </c>
      <c r="G504" t="s">
        <v>1576</v>
      </c>
      <c r="K504">
        <v>0</v>
      </c>
      <c r="O504" t="s">
        <v>57</v>
      </c>
      <c r="Q504" t="s">
        <v>2284</v>
      </c>
    </row>
    <row r="505" spans="1:17" x14ac:dyDescent="0.25">
      <c r="A505" t="s">
        <v>2597</v>
      </c>
      <c r="B505" t="s">
        <v>2598</v>
      </c>
      <c r="C505" t="s">
        <v>1622</v>
      </c>
      <c r="D505">
        <v>38.7667</v>
      </c>
      <c r="E505">
        <v>-111.6833</v>
      </c>
      <c r="F505">
        <v>9600</v>
      </c>
      <c r="G505" t="s">
        <v>1576</v>
      </c>
      <c r="K505">
        <v>0</v>
      </c>
      <c r="O505" t="s">
        <v>57</v>
      </c>
      <c r="Q505" t="s">
        <v>2284</v>
      </c>
    </row>
    <row r="506" spans="1:17" x14ac:dyDescent="0.25">
      <c r="A506" t="s">
        <v>1708</v>
      </c>
      <c r="B506" t="s">
        <v>1709</v>
      </c>
      <c r="C506" t="s">
        <v>1622</v>
      </c>
      <c r="D506">
        <v>39.075553999999997</v>
      </c>
      <c r="E506">
        <v>-111.15425999999999</v>
      </c>
      <c r="F506">
        <v>1830</v>
      </c>
      <c r="G506" t="s">
        <v>1576</v>
      </c>
      <c r="H506" s="1">
        <v>41975</v>
      </c>
      <c r="J506" t="s">
        <v>1577</v>
      </c>
      <c r="K506">
        <v>0</v>
      </c>
      <c r="L506" t="s">
        <v>1578</v>
      </c>
      <c r="O506" t="s">
        <v>151</v>
      </c>
      <c r="P506" t="s">
        <v>1585</v>
      </c>
      <c r="Q506" t="s">
        <v>1580</v>
      </c>
    </row>
    <row r="507" spans="1:17" x14ac:dyDescent="0.25">
      <c r="A507" t="s">
        <v>2599</v>
      </c>
      <c r="B507" t="s">
        <v>2600</v>
      </c>
      <c r="C507" t="s">
        <v>1622</v>
      </c>
      <c r="D507">
        <v>39.7744</v>
      </c>
      <c r="E507">
        <v>-111.19029999999999</v>
      </c>
      <c r="F507">
        <v>7670</v>
      </c>
      <c r="G507" t="s">
        <v>1576</v>
      </c>
      <c r="K507">
        <v>0</v>
      </c>
      <c r="O507" t="s">
        <v>51</v>
      </c>
      <c r="Q507" t="s">
        <v>2284</v>
      </c>
    </row>
    <row r="508" spans="1:17" x14ac:dyDescent="0.25">
      <c r="A508" t="s">
        <v>516</v>
      </c>
      <c r="B508" t="s">
        <v>517</v>
      </c>
      <c r="C508" t="s">
        <v>19</v>
      </c>
      <c r="D508">
        <v>40.36833</v>
      </c>
      <c r="E508">
        <v>-105.49305</v>
      </c>
      <c r="K508">
        <v>0</v>
      </c>
      <c r="O508" t="s">
        <v>51</v>
      </c>
      <c r="Q508" t="s">
        <v>21</v>
      </c>
    </row>
    <row r="509" spans="1:17" x14ac:dyDescent="0.25">
      <c r="A509" t="s">
        <v>570</v>
      </c>
      <c r="B509" t="s">
        <v>571</v>
      </c>
      <c r="C509" t="s">
        <v>41</v>
      </c>
      <c r="D509">
        <v>45.066670000000002</v>
      </c>
      <c r="E509">
        <v>-109.95</v>
      </c>
      <c r="F509">
        <v>9100</v>
      </c>
      <c r="K509">
        <v>0</v>
      </c>
      <c r="O509" t="s">
        <v>57</v>
      </c>
      <c r="Q509" t="s">
        <v>21</v>
      </c>
    </row>
    <row r="510" spans="1:17" x14ac:dyDescent="0.25">
      <c r="A510" t="s">
        <v>2601</v>
      </c>
      <c r="B510" t="s">
        <v>2602</v>
      </c>
      <c r="C510" t="s">
        <v>1622</v>
      </c>
      <c r="D510">
        <v>40.716700000000003</v>
      </c>
      <c r="E510">
        <v>-110.4667</v>
      </c>
      <c r="F510">
        <v>10920</v>
      </c>
      <c r="G510" t="s">
        <v>1576</v>
      </c>
      <c r="K510">
        <v>0</v>
      </c>
      <c r="O510" t="s">
        <v>57</v>
      </c>
      <c r="Q510" t="s">
        <v>2284</v>
      </c>
    </row>
    <row r="511" spans="1:17" x14ac:dyDescent="0.25">
      <c r="A511" t="s">
        <v>528</v>
      </c>
      <c r="B511" t="s">
        <v>529</v>
      </c>
      <c r="C511" t="s">
        <v>37</v>
      </c>
      <c r="D511">
        <v>43.22222</v>
      </c>
      <c r="E511">
        <v>-108.21832999999999</v>
      </c>
      <c r="K511">
        <v>0</v>
      </c>
      <c r="O511" t="s">
        <v>51</v>
      </c>
      <c r="Q511" t="s">
        <v>21</v>
      </c>
    </row>
    <row r="512" spans="1:17" x14ac:dyDescent="0.25">
      <c r="A512" t="s">
        <v>2603</v>
      </c>
      <c r="B512" t="s">
        <v>2604</v>
      </c>
      <c r="C512" t="s">
        <v>1622</v>
      </c>
      <c r="D512">
        <v>40.549999999999997</v>
      </c>
      <c r="E512">
        <v>-109.25</v>
      </c>
      <c r="F512">
        <v>6040</v>
      </c>
      <c r="G512" t="s">
        <v>1576</v>
      </c>
      <c r="K512">
        <v>0</v>
      </c>
      <c r="O512" t="s">
        <v>30</v>
      </c>
      <c r="Q512" t="s">
        <v>2284</v>
      </c>
    </row>
    <row r="513" spans="1:17" x14ac:dyDescent="0.25">
      <c r="A513" t="s">
        <v>520</v>
      </c>
      <c r="B513" t="s">
        <v>521</v>
      </c>
      <c r="C513" t="s">
        <v>19</v>
      </c>
      <c r="D513">
        <v>40.36833</v>
      </c>
      <c r="E513">
        <v>-105.22166</v>
      </c>
      <c r="K513">
        <v>0</v>
      </c>
      <c r="O513" t="s">
        <v>30</v>
      </c>
      <c r="Q513" t="s">
        <v>21</v>
      </c>
    </row>
    <row r="514" spans="1:17" x14ac:dyDescent="0.25">
      <c r="A514" t="s">
        <v>524</v>
      </c>
      <c r="B514" t="s">
        <v>525</v>
      </c>
      <c r="C514" t="s">
        <v>19</v>
      </c>
      <c r="D514">
        <v>40.36833</v>
      </c>
      <c r="E514">
        <v>-105.22166</v>
      </c>
      <c r="K514">
        <v>0</v>
      </c>
      <c r="O514" t="s">
        <v>30</v>
      </c>
      <c r="Q514" t="s">
        <v>21</v>
      </c>
    </row>
    <row r="515" spans="1:17" x14ac:dyDescent="0.25">
      <c r="A515" t="s">
        <v>518</v>
      </c>
      <c r="B515" t="s">
        <v>519</v>
      </c>
      <c r="C515" t="s">
        <v>19</v>
      </c>
      <c r="D515">
        <v>40.365000000000002</v>
      </c>
      <c r="E515">
        <v>-105.23611</v>
      </c>
      <c r="K515">
        <v>0</v>
      </c>
      <c r="O515" t="s">
        <v>30</v>
      </c>
      <c r="P515" t="s">
        <v>38</v>
      </c>
      <c r="Q515" t="s">
        <v>21</v>
      </c>
    </row>
    <row r="516" spans="1:17" x14ac:dyDescent="0.25">
      <c r="A516" t="s">
        <v>574</v>
      </c>
      <c r="B516" t="s">
        <v>575</v>
      </c>
      <c r="C516" t="s">
        <v>41</v>
      </c>
      <c r="D516">
        <v>48.8</v>
      </c>
      <c r="E516">
        <v>-113.85</v>
      </c>
      <c r="F516">
        <v>6300</v>
      </c>
      <c r="K516">
        <v>0</v>
      </c>
      <c r="O516" t="s">
        <v>57</v>
      </c>
      <c r="Q516" t="s">
        <v>21</v>
      </c>
    </row>
    <row r="517" spans="1:17" x14ac:dyDescent="0.25">
      <c r="A517" t="s">
        <v>2605</v>
      </c>
      <c r="B517" t="s">
        <v>2606</v>
      </c>
      <c r="C517" t="s">
        <v>19</v>
      </c>
      <c r="D517">
        <v>37.312800000000003</v>
      </c>
      <c r="E517">
        <v>-108.2286</v>
      </c>
      <c r="G517" t="s">
        <v>1576</v>
      </c>
      <c r="K517">
        <v>0</v>
      </c>
      <c r="O517" t="s">
        <v>20</v>
      </c>
      <c r="Q517" t="s">
        <v>2284</v>
      </c>
    </row>
    <row r="518" spans="1:17" x14ac:dyDescent="0.25">
      <c r="A518" t="s">
        <v>2611</v>
      </c>
      <c r="B518" t="s">
        <v>2612</v>
      </c>
      <c r="C518" t="s">
        <v>19</v>
      </c>
      <c r="D518">
        <v>37.139400000000002</v>
      </c>
      <c r="E518">
        <v>-108.24720000000001</v>
      </c>
      <c r="F518">
        <v>7065.35</v>
      </c>
      <c r="G518" t="s">
        <v>1576</v>
      </c>
      <c r="K518">
        <v>0</v>
      </c>
      <c r="O518" t="s">
        <v>51</v>
      </c>
      <c r="Q518" t="s">
        <v>2284</v>
      </c>
    </row>
    <row r="519" spans="1:17" x14ac:dyDescent="0.25">
      <c r="A519" t="s">
        <v>2607</v>
      </c>
      <c r="B519" t="s">
        <v>2608</v>
      </c>
      <c r="C519" t="s">
        <v>19</v>
      </c>
      <c r="D519">
        <v>37.416699999999999</v>
      </c>
      <c r="E519">
        <v>-107.66670000000001</v>
      </c>
      <c r="F519">
        <v>9610</v>
      </c>
      <c r="G519" t="s">
        <v>1576</v>
      </c>
      <c r="K519">
        <v>0</v>
      </c>
      <c r="O519" t="s">
        <v>51</v>
      </c>
      <c r="Q519" t="s">
        <v>2284</v>
      </c>
    </row>
    <row r="520" spans="1:17" x14ac:dyDescent="0.25">
      <c r="A520" t="s">
        <v>2609</v>
      </c>
      <c r="B520" t="s">
        <v>2610</v>
      </c>
      <c r="C520" t="s">
        <v>19</v>
      </c>
      <c r="D520">
        <v>37.056699999999999</v>
      </c>
      <c r="E520">
        <v>-107.86920000000001</v>
      </c>
      <c r="F520">
        <v>6000</v>
      </c>
      <c r="G520" t="s">
        <v>1576</v>
      </c>
      <c r="K520">
        <v>0</v>
      </c>
      <c r="O520" t="s">
        <v>51</v>
      </c>
      <c r="Q520" t="s">
        <v>2284</v>
      </c>
    </row>
    <row r="521" spans="1:17" x14ac:dyDescent="0.25">
      <c r="A521" t="s">
        <v>2613</v>
      </c>
      <c r="B521" t="s">
        <v>2614</v>
      </c>
      <c r="C521" t="s">
        <v>19</v>
      </c>
      <c r="D521">
        <v>37.380299999999998</v>
      </c>
      <c r="E521">
        <v>-108.3381</v>
      </c>
      <c r="G521" t="s">
        <v>1576</v>
      </c>
      <c r="K521">
        <v>0</v>
      </c>
      <c r="O521" t="s">
        <v>51</v>
      </c>
      <c r="Q521" t="s">
        <v>2284</v>
      </c>
    </row>
    <row r="522" spans="1:17" x14ac:dyDescent="0.25">
      <c r="A522" t="s">
        <v>2617</v>
      </c>
      <c r="B522" t="s">
        <v>2618</v>
      </c>
      <c r="C522" t="s">
        <v>19</v>
      </c>
      <c r="D522">
        <v>37.325299999999999</v>
      </c>
      <c r="E522">
        <v>-107.7483</v>
      </c>
      <c r="F522">
        <v>7301.88</v>
      </c>
      <c r="G522" t="s">
        <v>1576</v>
      </c>
      <c r="K522">
        <v>0</v>
      </c>
      <c r="O522" t="s">
        <v>51</v>
      </c>
      <c r="Q522" t="s">
        <v>2284</v>
      </c>
    </row>
    <row r="523" spans="1:17" x14ac:dyDescent="0.25">
      <c r="A523" t="s">
        <v>2615</v>
      </c>
      <c r="B523" t="s">
        <v>2616</v>
      </c>
      <c r="C523" t="s">
        <v>19</v>
      </c>
      <c r="D523">
        <v>37.3767</v>
      </c>
      <c r="E523">
        <v>-107.6617</v>
      </c>
      <c r="F523">
        <v>7940</v>
      </c>
      <c r="G523" t="s">
        <v>1576</v>
      </c>
      <c r="K523">
        <v>0</v>
      </c>
      <c r="O523" t="s">
        <v>51</v>
      </c>
      <c r="Q523" t="s">
        <v>2284</v>
      </c>
    </row>
    <row r="524" spans="1:17" x14ac:dyDescent="0.25">
      <c r="A524" t="s">
        <v>3487</v>
      </c>
      <c r="B524" t="s">
        <v>3488</v>
      </c>
      <c r="C524" t="s">
        <v>1643</v>
      </c>
      <c r="D524">
        <v>38.683</v>
      </c>
      <c r="E524">
        <v>-121.18300000000001</v>
      </c>
      <c r="F524">
        <v>466</v>
      </c>
      <c r="G524" t="s">
        <v>1589</v>
      </c>
      <c r="K524">
        <v>0</v>
      </c>
      <c r="O524" t="s">
        <v>30</v>
      </c>
      <c r="Q524" t="s">
        <v>3478</v>
      </c>
    </row>
    <row r="525" spans="1:17" x14ac:dyDescent="0.25">
      <c r="A525" t="s">
        <v>2621</v>
      </c>
      <c r="B525" t="s">
        <v>2622</v>
      </c>
      <c r="C525" t="s">
        <v>37</v>
      </c>
      <c r="D525">
        <v>42.0961</v>
      </c>
      <c r="E525">
        <v>-110.4158</v>
      </c>
      <c r="F525">
        <v>6950</v>
      </c>
      <c r="G525" t="s">
        <v>1576</v>
      </c>
      <c r="K525">
        <v>0</v>
      </c>
      <c r="O525" t="s">
        <v>51</v>
      </c>
      <c r="Q525" t="s">
        <v>2284</v>
      </c>
    </row>
    <row r="526" spans="1:17" x14ac:dyDescent="0.25">
      <c r="A526" t="s">
        <v>2619</v>
      </c>
      <c r="B526" t="s">
        <v>2620</v>
      </c>
      <c r="C526" t="s">
        <v>37</v>
      </c>
      <c r="D526">
        <v>42.02</v>
      </c>
      <c r="E526">
        <v>-110.04</v>
      </c>
      <c r="F526">
        <v>6506</v>
      </c>
      <c r="G526" t="s">
        <v>1576</v>
      </c>
      <c r="K526">
        <v>0</v>
      </c>
      <c r="O526" t="s">
        <v>30</v>
      </c>
      <c r="Q526" t="s">
        <v>2284</v>
      </c>
    </row>
    <row r="527" spans="1:17" x14ac:dyDescent="0.25">
      <c r="A527" t="s">
        <v>1706</v>
      </c>
      <c r="B527" t="s">
        <v>1707</v>
      </c>
      <c r="C527" t="s">
        <v>1588</v>
      </c>
      <c r="D527">
        <v>45.553049999999999</v>
      </c>
      <c r="E527">
        <v>-123.08360999999999</v>
      </c>
      <c r="F527">
        <v>54.86</v>
      </c>
      <c r="G527" t="s">
        <v>1589</v>
      </c>
      <c r="H527" s="1">
        <v>32629</v>
      </c>
      <c r="J527" t="s">
        <v>1577</v>
      </c>
      <c r="K527">
        <v>0</v>
      </c>
      <c r="L527" t="s">
        <v>1578</v>
      </c>
      <c r="O527" t="s">
        <v>151</v>
      </c>
      <c r="P527" t="s">
        <v>1585</v>
      </c>
      <c r="Q527" t="s">
        <v>1580</v>
      </c>
    </row>
    <row r="528" spans="1:17" x14ac:dyDescent="0.25">
      <c r="A528" t="s">
        <v>504</v>
      </c>
      <c r="B528" t="s">
        <v>505</v>
      </c>
      <c r="C528" t="s">
        <v>41</v>
      </c>
      <c r="D528">
        <v>48.484169999999999</v>
      </c>
      <c r="E528">
        <v>-108.75360999999999</v>
      </c>
      <c r="K528">
        <v>0</v>
      </c>
      <c r="O528" t="s">
        <v>34</v>
      </c>
      <c r="Q528" t="s">
        <v>21</v>
      </c>
    </row>
    <row r="529" spans="1:17" x14ac:dyDescent="0.25">
      <c r="A529" t="s">
        <v>572</v>
      </c>
      <c r="B529" t="s">
        <v>573</v>
      </c>
      <c r="C529" t="s">
        <v>41</v>
      </c>
      <c r="D529">
        <v>48.602780000000003</v>
      </c>
      <c r="E529">
        <v>-108.39444</v>
      </c>
      <c r="K529">
        <v>0</v>
      </c>
      <c r="O529" t="s">
        <v>34</v>
      </c>
      <c r="Q529" t="s">
        <v>21</v>
      </c>
    </row>
    <row r="530" spans="1:17" x14ac:dyDescent="0.25">
      <c r="A530" t="s">
        <v>141</v>
      </c>
      <c r="B530" t="s">
        <v>142</v>
      </c>
      <c r="C530" t="s">
        <v>41</v>
      </c>
      <c r="D530">
        <v>48.59639</v>
      </c>
      <c r="E530">
        <v>-109.10026999999999</v>
      </c>
      <c r="K530">
        <v>0</v>
      </c>
      <c r="O530" t="s">
        <v>34</v>
      </c>
      <c r="Q530" t="s">
        <v>21</v>
      </c>
    </row>
    <row r="531" spans="1:17" x14ac:dyDescent="0.25">
      <c r="A531" t="s">
        <v>368</v>
      </c>
      <c r="B531" t="s">
        <v>369</v>
      </c>
      <c r="C531" t="s">
        <v>47</v>
      </c>
      <c r="D531">
        <v>35.157780000000002</v>
      </c>
      <c r="E531">
        <v>-98.456379999999996</v>
      </c>
      <c r="K531">
        <v>0</v>
      </c>
      <c r="O531" t="s">
        <v>30</v>
      </c>
      <c r="P531" t="s">
        <v>48</v>
      </c>
      <c r="Q531" t="s">
        <v>21</v>
      </c>
    </row>
    <row r="532" spans="1:17" x14ac:dyDescent="0.25">
      <c r="A532" t="s">
        <v>1710</v>
      </c>
      <c r="B532" t="s">
        <v>1711</v>
      </c>
      <c r="C532" t="s">
        <v>410</v>
      </c>
      <c r="D532">
        <v>43.071379999999998</v>
      </c>
      <c r="E532">
        <v>-112.43111</v>
      </c>
      <c r="F532">
        <v>1354.84</v>
      </c>
      <c r="G532" t="s">
        <v>1576</v>
      </c>
      <c r="H532" s="1">
        <v>33923</v>
      </c>
      <c r="J532" t="s">
        <v>1577</v>
      </c>
      <c r="K532">
        <v>0</v>
      </c>
      <c r="L532" t="s">
        <v>1578</v>
      </c>
      <c r="O532" t="s">
        <v>151</v>
      </c>
      <c r="P532" t="s">
        <v>1585</v>
      </c>
      <c r="Q532" t="s">
        <v>1580</v>
      </c>
    </row>
    <row r="533" spans="1:17" x14ac:dyDescent="0.25">
      <c r="A533" t="s">
        <v>514</v>
      </c>
      <c r="B533" t="s">
        <v>515</v>
      </c>
      <c r="C533" t="s">
        <v>37</v>
      </c>
      <c r="D533">
        <v>42.24306</v>
      </c>
      <c r="E533">
        <v>-104.63</v>
      </c>
      <c r="K533">
        <v>0</v>
      </c>
      <c r="O533" t="s">
        <v>34</v>
      </c>
      <c r="Q533" t="s">
        <v>21</v>
      </c>
    </row>
    <row r="534" spans="1:17" x14ac:dyDescent="0.25">
      <c r="A534" t="s">
        <v>508</v>
      </c>
      <c r="B534" t="s">
        <v>509</v>
      </c>
      <c r="C534" t="s">
        <v>26</v>
      </c>
      <c r="D534">
        <v>41.809440000000002</v>
      </c>
      <c r="E534">
        <v>-104.05473000000001</v>
      </c>
      <c r="K534">
        <v>0</v>
      </c>
      <c r="O534" t="s">
        <v>34</v>
      </c>
      <c r="Q534" t="s">
        <v>21</v>
      </c>
    </row>
    <row r="535" spans="1:17" x14ac:dyDescent="0.25">
      <c r="A535" t="s">
        <v>2097</v>
      </c>
      <c r="B535" t="s">
        <v>2098</v>
      </c>
      <c r="C535" t="s">
        <v>1987</v>
      </c>
      <c r="D535">
        <v>35</v>
      </c>
      <c r="E535">
        <v>-114.7</v>
      </c>
      <c r="G535" t="s">
        <v>1576</v>
      </c>
      <c r="K535">
        <v>0</v>
      </c>
      <c r="O535" t="s">
        <v>20</v>
      </c>
      <c r="Q535" t="s">
        <v>1988</v>
      </c>
    </row>
    <row r="536" spans="1:17" x14ac:dyDescent="0.25">
      <c r="A536" t="s">
        <v>2099</v>
      </c>
      <c r="B536" t="s">
        <v>2100</v>
      </c>
      <c r="C536" t="s">
        <v>1643</v>
      </c>
      <c r="D536">
        <v>34.9</v>
      </c>
      <c r="E536">
        <v>-114.7</v>
      </c>
      <c r="G536" t="s">
        <v>1589</v>
      </c>
      <c r="K536">
        <v>0</v>
      </c>
      <c r="O536" t="s">
        <v>20</v>
      </c>
      <c r="Q536" t="s">
        <v>1988</v>
      </c>
    </row>
    <row r="537" spans="1:17" x14ac:dyDescent="0.25">
      <c r="A537" t="s">
        <v>2071</v>
      </c>
      <c r="B537" t="s">
        <v>2072</v>
      </c>
      <c r="C537" t="s">
        <v>1987</v>
      </c>
      <c r="D537">
        <v>34.841900000000003</v>
      </c>
      <c r="E537">
        <v>-114.60890000000001</v>
      </c>
      <c r="G537" t="s">
        <v>1576</v>
      </c>
      <c r="K537">
        <v>0</v>
      </c>
      <c r="O537" t="s">
        <v>20</v>
      </c>
      <c r="Q537" t="s">
        <v>1988</v>
      </c>
    </row>
    <row r="538" spans="1:17" x14ac:dyDescent="0.25">
      <c r="A538" t="s">
        <v>2073</v>
      </c>
      <c r="B538" t="s">
        <v>2074</v>
      </c>
      <c r="C538" t="s">
        <v>1604</v>
      </c>
      <c r="D538">
        <v>34.969700000000003</v>
      </c>
      <c r="E538">
        <v>-114.64360000000001</v>
      </c>
      <c r="G538" t="s">
        <v>1589</v>
      </c>
      <c r="K538">
        <v>0</v>
      </c>
      <c r="O538" t="s">
        <v>20</v>
      </c>
      <c r="Q538" t="s">
        <v>1988</v>
      </c>
    </row>
    <row r="539" spans="1:17" x14ac:dyDescent="0.25">
      <c r="A539" t="s">
        <v>2075</v>
      </c>
      <c r="B539" t="s">
        <v>2076</v>
      </c>
      <c r="C539" t="s">
        <v>1643</v>
      </c>
      <c r="D539">
        <v>34.972799999999999</v>
      </c>
      <c r="E539">
        <v>-114.6536</v>
      </c>
      <c r="G539" t="s">
        <v>1589</v>
      </c>
      <c r="K539">
        <v>0</v>
      </c>
      <c r="O539" t="s">
        <v>34</v>
      </c>
      <c r="Q539" t="s">
        <v>1988</v>
      </c>
    </row>
    <row r="540" spans="1:17" x14ac:dyDescent="0.25">
      <c r="A540" t="s">
        <v>2077</v>
      </c>
      <c r="B540" t="s">
        <v>2078</v>
      </c>
      <c r="C540" t="s">
        <v>1643</v>
      </c>
      <c r="D540">
        <v>34.972799999999999</v>
      </c>
      <c r="E540">
        <v>-114.6536</v>
      </c>
      <c r="G540" t="s">
        <v>1589</v>
      </c>
      <c r="K540">
        <v>0</v>
      </c>
      <c r="O540" t="s">
        <v>34</v>
      </c>
      <c r="Q540" t="s">
        <v>1988</v>
      </c>
    </row>
    <row r="541" spans="1:17" x14ac:dyDescent="0.25">
      <c r="A541" t="s">
        <v>2079</v>
      </c>
      <c r="B541" t="s">
        <v>2080</v>
      </c>
      <c r="C541" t="s">
        <v>1643</v>
      </c>
      <c r="D541">
        <v>34.972799999999999</v>
      </c>
      <c r="E541">
        <v>-114.6536</v>
      </c>
      <c r="G541" t="s">
        <v>1589</v>
      </c>
      <c r="K541">
        <v>0</v>
      </c>
      <c r="O541" t="s">
        <v>34</v>
      </c>
      <c r="Q541" t="s">
        <v>1988</v>
      </c>
    </row>
    <row r="542" spans="1:17" x14ac:dyDescent="0.25">
      <c r="A542" t="s">
        <v>2081</v>
      </c>
      <c r="B542" t="s">
        <v>2082</v>
      </c>
      <c r="C542" t="s">
        <v>1987</v>
      </c>
      <c r="D542">
        <v>34.946399999999997</v>
      </c>
      <c r="E542">
        <v>-114.6442</v>
      </c>
      <c r="G542" t="s">
        <v>1576</v>
      </c>
      <c r="K542">
        <v>0</v>
      </c>
      <c r="O542" t="s">
        <v>20</v>
      </c>
      <c r="Q542" t="s">
        <v>1988</v>
      </c>
    </row>
    <row r="543" spans="1:17" x14ac:dyDescent="0.25">
      <c r="A543" t="s">
        <v>2087</v>
      </c>
      <c r="B543" t="s">
        <v>2088</v>
      </c>
      <c r="C543" t="s">
        <v>1643</v>
      </c>
      <c r="D543">
        <v>35.059399999999997</v>
      </c>
      <c r="E543">
        <v>-114.6267</v>
      </c>
      <c r="G543" t="s">
        <v>1589</v>
      </c>
      <c r="K543">
        <v>0</v>
      </c>
      <c r="O543" t="s">
        <v>20</v>
      </c>
      <c r="Q543" t="s">
        <v>1988</v>
      </c>
    </row>
    <row r="544" spans="1:17" x14ac:dyDescent="0.25">
      <c r="A544" t="s">
        <v>2083</v>
      </c>
      <c r="B544" t="s">
        <v>2084</v>
      </c>
      <c r="C544" t="s">
        <v>1987</v>
      </c>
      <c r="D544">
        <v>35.030299999999997</v>
      </c>
      <c r="E544">
        <v>-114.6336</v>
      </c>
      <c r="G544" t="s">
        <v>1576</v>
      </c>
      <c r="K544">
        <v>0</v>
      </c>
      <c r="O544" t="s">
        <v>20</v>
      </c>
      <c r="Q544" t="s">
        <v>1988</v>
      </c>
    </row>
    <row r="545" spans="1:17" x14ac:dyDescent="0.25">
      <c r="A545" t="s">
        <v>2085</v>
      </c>
      <c r="B545" t="s">
        <v>2086</v>
      </c>
      <c r="C545" t="s">
        <v>1987</v>
      </c>
      <c r="D545">
        <v>35.030299999999997</v>
      </c>
      <c r="E545">
        <v>-114.6336</v>
      </c>
      <c r="G545" t="s">
        <v>1576</v>
      </c>
      <c r="K545">
        <v>0</v>
      </c>
      <c r="O545" t="s">
        <v>20</v>
      </c>
      <c r="Q545" t="s">
        <v>1988</v>
      </c>
    </row>
    <row r="546" spans="1:17" x14ac:dyDescent="0.25">
      <c r="A546" t="s">
        <v>2089</v>
      </c>
      <c r="B546" t="s">
        <v>2090</v>
      </c>
      <c r="C546" t="s">
        <v>1643</v>
      </c>
      <c r="D546">
        <v>34.857199999999999</v>
      </c>
      <c r="E546">
        <v>-114.57689999999999</v>
      </c>
      <c r="G546" t="s">
        <v>1589</v>
      </c>
      <c r="K546">
        <v>0</v>
      </c>
      <c r="O546" t="s">
        <v>20</v>
      </c>
      <c r="Q546" t="s">
        <v>1988</v>
      </c>
    </row>
    <row r="547" spans="1:17" x14ac:dyDescent="0.25">
      <c r="A547" t="s">
        <v>2091</v>
      </c>
      <c r="B547" t="s">
        <v>2092</v>
      </c>
      <c r="C547" t="s">
        <v>1643</v>
      </c>
      <c r="D547">
        <v>34.857199999999999</v>
      </c>
      <c r="E547">
        <v>-114.57689999999999</v>
      </c>
      <c r="G547" t="s">
        <v>1589</v>
      </c>
      <c r="K547">
        <v>0</v>
      </c>
      <c r="O547" t="s">
        <v>20</v>
      </c>
      <c r="Q547" t="s">
        <v>1988</v>
      </c>
    </row>
    <row r="548" spans="1:17" x14ac:dyDescent="0.25">
      <c r="A548" t="s">
        <v>2093</v>
      </c>
      <c r="B548" t="s">
        <v>2094</v>
      </c>
      <c r="C548" t="s">
        <v>1987</v>
      </c>
      <c r="D548">
        <v>34.9878</v>
      </c>
      <c r="E548">
        <v>-114.6228</v>
      </c>
      <c r="G548" t="s">
        <v>1576</v>
      </c>
      <c r="K548">
        <v>0</v>
      </c>
      <c r="O548" t="s">
        <v>20</v>
      </c>
      <c r="Q548" t="s">
        <v>1988</v>
      </c>
    </row>
    <row r="549" spans="1:17" x14ac:dyDescent="0.25">
      <c r="A549" t="s">
        <v>2095</v>
      </c>
      <c r="B549" t="s">
        <v>2096</v>
      </c>
      <c r="C549" t="s">
        <v>1987</v>
      </c>
      <c r="D549">
        <v>34.92</v>
      </c>
      <c r="E549">
        <v>-114.6258</v>
      </c>
      <c r="G549" t="s">
        <v>1576</v>
      </c>
      <c r="K549">
        <v>0</v>
      </c>
      <c r="O549" t="s">
        <v>20</v>
      </c>
      <c r="Q549" t="s">
        <v>1988</v>
      </c>
    </row>
    <row r="550" spans="1:17" x14ac:dyDescent="0.25">
      <c r="A550" t="s">
        <v>568</v>
      </c>
      <c r="B550" t="s">
        <v>569</v>
      </c>
      <c r="C550" t="s">
        <v>41</v>
      </c>
      <c r="D550">
        <v>47.508339999999997</v>
      </c>
      <c r="E550">
        <v>-112.075</v>
      </c>
      <c r="K550">
        <v>0</v>
      </c>
      <c r="O550" t="s">
        <v>20</v>
      </c>
      <c r="Q550" t="s">
        <v>21</v>
      </c>
    </row>
    <row r="551" spans="1:17" x14ac:dyDescent="0.25">
      <c r="A551" t="s">
        <v>2635</v>
      </c>
      <c r="B551" t="s">
        <v>2636</v>
      </c>
      <c r="C551" t="s">
        <v>2283</v>
      </c>
      <c r="D551">
        <v>34.351700000000001</v>
      </c>
      <c r="E551">
        <v>-104.1739</v>
      </c>
      <c r="F551">
        <v>3930</v>
      </c>
      <c r="G551" t="s">
        <v>1576</v>
      </c>
      <c r="K551">
        <v>0</v>
      </c>
      <c r="O551" t="s">
        <v>34</v>
      </c>
      <c r="Q551" t="s">
        <v>2284</v>
      </c>
    </row>
    <row r="552" spans="1:17" x14ac:dyDescent="0.25">
      <c r="A552" t="s">
        <v>2637</v>
      </c>
      <c r="B552" t="s">
        <v>2638</v>
      </c>
      <c r="C552" t="s">
        <v>2283</v>
      </c>
      <c r="D552">
        <v>34.404200000000003</v>
      </c>
      <c r="E552">
        <v>-104.2008</v>
      </c>
      <c r="F552">
        <v>3930</v>
      </c>
      <c r="G552" t="s">
        <v>1576</v>
      </c>
      <c r="K552">
        <v>0</v>
      </c>
      <c r="O552" t="s">
        <v>34</v>
      </c>
      <c r="Q552" t="s">
        <v>2284</v>
      </c>
    </row>
    <row r="553" spans="1:17" x14ac:dyDescent="0.25">
      <c r="A553" t="s">
        <v>2623</v>
      </c>
      <c r="B553" t="s">
        <v>2624</v>
      </c>
      <c r="C553" t="s">
        <v>2283</v>
      </c>
      <c r="D553">
        <v>34.508299999999998</v>
      </c>
      <c r="E553">
        <v>-104.2778</v>
      </c>
      <c r="G553" t="s">
        <v>1576</v>
      </c>
      <c r="K553">
        <v>0</v>
      </c>
      <c r="O553" t="s">
        <v>34</v>
      </c>
      <c r="Q553" t="s">
        <v>2284</v>
      </c>
    </row>
    <row r="554" spans="1:17" x14ac:dyDescent="0.25">
      <c r="A554" t="s">
        <v>2101</v>
      </c>
      <c r="B554" t="s">
        <v>2102</v>
      </c>
      <c r="C554" t="s">
        <v>1643</v>
      </c>
      <c r="D554">
        <v>32.869999999999997</v>
      </c>
      <c r="E554">
        <v>-114.48</v>
      </c>
      <c r="G554" t="s">
        <v>1589</v>
      </c>
      <c r="K554">
        <v>0</v>
      </c>
      <c r="O554" t="s">
        <v>20</v>
      </c>
      <c r="Q554" t="s">
        <v>1988</v>
      </c>
    </row>
    <row r="555" spans="1:17" x14ac:dyDescent="0.25">
      <c r="A555" t="s">
        <v>530</v>
      </c>
      <c r="B555" t="s">
        <v>531</v>
      </c>
      <c r="C555" t="s">
        <v>47</v>
      </c>
      <c r="D555">
        <v>35.538330000000002</v>
      </c>
      <c r="E555">
        <v>-99.177769999999995</v>
      </c>
      <c r="K555">
        <v>0</v>
      </c>
      <c r="O555" t="s">
        <v>30</v>
      </c>
      <c r="P555" t="s">
        <v>48</v>
      </c>
      <c r="Q555" t="s">
        <v>21</v>
      </c>
    </row>
    <row r="556" spans="1:17" x14ac:dyDescent="0.25">
      <c r="A556" t="s">
        <v>534</v>
      </c>
      <c r="B556" t="s">
        <v>535</v>
      </c>
      <c r="C556" t="s">
        <v>19</v>
      </c>
      <c r="D556">
        <v>38.287779999999998</v>
      </c>
      <c r="E556">
        <v>-104.60056</v>
      </c>
      <c r="K556">
        <v>0</v>
      </c>
      <c r="O556" t="s">
        <v>51</v>
      </c>
      <c r="Q556" t="s">
        <v>21</v>
      </c>
    </row>
    <row r="557" spans="1:17" x14ac:dyDescent="0.25">
      <c r="A557" t="s">
        <v>532</v>
      </c>
      <c r="B557" t="s">
        <v>533</v>
      </c>
      <c r="C557" t="s">
        <v>19</v>
      </c>
      <c r="D557">
        <v>38.439720000000001</v>
      </c>
      <c r="E557">
        <v>-104.59305999999999</v>
      </c>
      <c r="K557">
        <v>0</v>
      </c>
      <c r="O557" t="s">
        <v>51</v>
      </c>
      <c r="Q557" t="s">
        <v>21</v>
      </c>
    </row>
    <row r="558" spans="1:17" x14ac:dyDescent="0.25">
      <c r="A558" t="s">
        <v>2625</v>
      </c>
      <c r="B558" t="s">
        <v>2626</v>
      </c>
      <c r="C558" t="s">
        <v>2283</v>
      </c>
      <c r="D558">
        <v>32.672800000000002</v>
      </c>
      <c r="E558">
        <v>-104.3689</v>
      </c>
      <c r="G558" t="s">
        <v>1576</v>
      </c>
      <c r="K558">
        <v>0</v>
      </c>
      <c r="O558" t="s">
        <v>51</v>
      </c>
      <c r="Q558" t="s">
        <v>2284</v>
      </c>
    </row>
    <row r="559" spans="1:17" x14ac:dyDescent="0.25">
      <c r="A559" t="s">
        <v>2627</v>
      </c>
      <c r="B559" t="s">
        <v>2628</v>
      </c>
      <c r="C559" t="s">
        <v>410</v>
      </c>
      <c r="D559">
        <v>43.05</v>
      </c>
      <c r="E559">
        <v>-111.6</v>
      </c>
      <c r="F559">
        <v>8170</v>
      </c>
      <c r="G559" t="s">
        <v>1589</v>
      </c>
      <c r="K559">
        <v>0</v>
      </c>
      <c r="O559" t="s">
        <v>57</v>
      </c>
      <c r="Q559" t="s">
        <v>2284</v>
      </c>
    </row>
    <row r="560" spans="1:17" x14ac:dyDescent="0.25">
      <c r="A560" t="s">
        <v>510</v>
      </c>
      <c r="B560" t="s">
        <v>511</v>
      </c>
      <c r="C560" t="s">
        <v>26</v>
      </c>
      <c r="D560">
        <v>40.08361</v>
      </c>
      <c r="E560">
        <v>-98.46472</v>
      </c>
      <c r="K560">
        <v>0</v>
      </c>
      <c r="O560" t="s">
        <v>34</v>
      </c>
      <c r="Q560" t="s">
        <v>21</v>
      </c>
    </row>
    <row r="561" spans="1:17" x14ac:dyDescent="0.25">
      <c r="A561" t="s">
        <v>512</v>
      </c>
      <c r="B561" t="s">
        <v>513</v>
      </c>
      <c r="C561" t="s">
        <v>26</v>
      </c>
      <c r="D561">
        <v>40.093060000000001</v>
      </c>
      <c r="E561">
        <v>-98.573610000000002</v>
      </c>
      <c r="K561">
        <v>0</v>
      </c>
      <c r="O561" t="s">
        <v>34</v>
      </c>
      <c r="Q561" t="s">
        <v>21</v>
      </c>
    </row>
    <row r="562" spans="1:17" x14ac:dyDescent="0.25">
      <c r="A562" t="s">
        <v>550</v>
      </c>
      <c r="B562" t="s">
        <v>551</v>
      </c>
      <c r="C562" t="s">
        <v>26</v>
      </c>
      <c r="D562">
        <v>40.073329999999999</v>
      </c>
      <c r="E562">
        <v>-99.207220000000007</v>
      </c>
      <c r="K562">
        <v>0</v>
      </c>
      <c r="O562" t="s">
        <v>20</v>
      </c>
      <c r="Q562" t="s">
        <v>21</v>
      </c>
    </row>
    <row r="563" spans="1:17" x14ac:dyDescent="0.25">
      <c r="A563" t="s">
        <v>536</v>
      </c>
      <c r="B563" t="s">
        <v>537</v>
      </c>
      <c r="C563" t="s">
        <v>26</v>
      </c>
      <c r="D563">
        <v>40.074440000000003</v>
      </c>
      <c r="E563">
        <v>-98.885549999999995</v>
      </c>
      <c r="K563">
        <v>0</v>
      </c>
      <c r="O563" t="s">
        <v>34</v>
      </c>
      <c r="Q563" t="s">
        <v>21</v>
      </c>
    </row>
    <row r="564" spans="1:17" x14ac:dyDescent="0.25">
      <c r="A564" t="s">
        <v>538</v>
      </c>
      <c r="B564" t="s">
        <v>539</v>
      </c>
      <c r="C564" t="s">
        <v>19</v>
      </c>
      <c r="D564">
        <v>39.920279999999998</v>
      </c>
      <c r="E564">
        <v>-105.78471999999999</v>
      </c>
      <c r="K564">
        <v>0</v>
      </c>
      <c r="O564" t="s">
        <v>51</v>
      </c>
      <c r="Q564" t="s">
        <v>21</v>
      </c>
    </row>
    <row r="565" spans="1:17" x14ac:dyDescent="0.25">
      <c r="A565" t="s">
        <v>2629</v>
      </c>
      <c r="B565" t="s">
        <v>2630</v>
      </c>
      <c r="C565" t="s">
        <v>19</v>
      </c>
      <c r="D565">
        <v>39.383299999999998</v>
      </c>
      <c r="E565">
        <v>-106.2</v>
      </c>
      <c r="F565">
        <v>11400</v>
      </c>
      <c r="G565" t="s">
        <v>1576</v>
      </c>
      <c r="K565">
        <v>0</v>
      </c>
      <c r="O565" t="s">
        <v>57</v>
      </c>
      <c r="Q565" t="s">
        <v>2284</v>
      </c>
    </row>
    <row r="566" spans="1:17" x14ac:dyDescent="0.25">
      <c r="A566" t="s">
        <v>546</v>
      </c>
      <c r="B566" t="s">
        <v>547</v>
      </c>
      <c r="C566" t="s">
        <v>19</v>
      </c>
      <c r="D566">
        <v>39.366390000000003</v>
      </c>
      <c r="E566">
        <v>-106.18611</v>
      </c>
      <c r="F566">
        <v>11310</v>
      </c>
      <c r="K566">
        <v>0</v>
      </c>
      <c r="O566" t="s">
        <v>57</v>
      </c>
      <c r="Q566" t="s">
        <v>21</v>
      </c>
    </row>
    <row r="567" spans="1:17" x14ac:dyDescent="0.25">
      <c r="A567" t="s">
        <v>506</v>
      </c>
      <c r="B567" t="s">
        <v>507</v>
      </c>
      <c r="C567" t="s">
        <v>26</v>
      </c>
      <c r="D567">
        <v>40.429169999999999</v>
      </c>
      <c r="E567">
        <v>-101.62361</v>
      </c>
      <c r="K567">
        <v>0</v>
      </c>
      <c r="O567" t="s">
        <v>51</v>
      </c>
      <c r="Q567" t="s">
        <v>21</v>
      </c>
    </row>
    <row r="568" spans="1:17" x14ac:dyDescent="0.25">
      <c r="A568" t="s">
        <v>540</v>
      </c>
      <c r="B568" t="s">
        <v>541</v>
      </c>
      <c r="C568" t="s">
        <v>41</v>
      </c>
      <c r="D568">
        <v>49</v>
      </c>
      <c r="E568">
        <v>-107.30167</v>
      </c>
      <c r="K568">
        <v>0</v>
      </c>
      <c r="O568" t="s">
        <v>51</v>
      </c>
      <c r="Q568" t="s">
        <v>21</v>
      </c>
    </row>
    <row r="569" spans="1:17" x14ac:dyDescent="0.25">
      <c r="A569" t="s">
        <v>552</v>
      </c>
      <c r="B569" t="s">
        <v>553</v>
      </c>
      <c r="C569" t="s">
        <v>41</v>
      </c>
      <c r="D569">
        <v>48.608330000000002</v>
      </c>
      <c r="E569">
        <v>-109.94583</v>
      </c>
      <c r="K569">
        <v>0</v>
      </c>
      <c r="O569" t="s">
        <v>30</v>
      </c>
      <c r="P569" t="s">
        <v>324</v>
      </c>
      <c r="Q569" t="s">
        <v>21</v>
      </c>
    </row>
    <row r="570" spans="1:17" x14ac:dyDescent="0.25">
      <c r="A570" t="s">
        <v>542</v>
      </c>
      <c r="B570" t="s">
        <v>543</v>
      </c>
      <c r="C570" t="s">
        <v>86</v>
      </c>
      <c r="D570">
        <v>29.488330000000001</v>
      </c>
      <c r="E570">
        <v>-99.704440000000005</v>
      </c>
      <c r="K570">
        <v>0</v>
      </c>
      <c r="O570" t="s">
        <v>51</v>
      </c>
      <c r="Q570" t="s">
        <v>21</v>
      </c>
    </row>
    <row r="571" spans="1:17" x14ac:dyDescent="0.25">
      <c r="A571" t="s">
        <v>554</v>
      </c>
      <c r="B571" t="s">
        <v>555</v>
      </c>
      <c r="C571" t="s">
        <v>86</v>
      </c>
      <c r="D571">
        <v>28.467220000000001</v>
      </c>
      <c r="E571">
        <v>-98.547219999999996</v>
      </c>
      <c r="K571">
        <v>0</v>
      </c>
      <c r="O571" t="s">
        <v>51</v>
      </c>
      <c r="Q571" t="s">
        <v>21</v>
      </c>
    </row>
    <row r="572" spans="1:17" x14ac:dyDescent="0.25">
      <c r="A572" t="s">
        <v>556</v>
      </c>
      <c r="B572" t="s">
        <v>557</v>
      </c>
      <c r="C572" t="s">
        <v>86</v>
      </c>
      <c r="D572">
        <v>29.245560000000001</v>
      </c>
      <c r="E572">
        <v>-99.674160000000001</v>
      </c>
      <c r="K572">
        <v>0</v>
      </c>
      <c r="O572" t="s">
        <v>51</v>
      </c>
      <c r="Q572" t="s">
        <v>21</v>
      </c>
    </row>
    <row r="573" spans="1:17" x14ac:dyDescent="0.25">
      <c r="A573" t="s">
        <v>544</v>
      </c>
      <c r="B573" t="s">
        <v>545</v>
      </c>
      <c r="C573" t="s">
        <v>86</v>
      </c>
      <c r="D573">
        <v>28.73639</v>
      </c>
      <c r="E573">
        <v>-99.144440000000003</v>
      </c>
      <c r="K573">
        <v>0</v>
      </c>
      <c r="O573" t="s">
        <v>51</v>
      </c>
      <c r="Q573" t="s">
        <v>21</v>
      </c>
    </row>
    <row r="574" spans="1:17" x14ac:dyDescent="0.25">
      <c r="A574" t="s">
        <v>548</v>
      </c>
      <c r="B574" t="s">
        <v>549</v>
      </c>
      <c r="C574" t="s">
        <v>41</v>
      </c>
      <c r="D574">
        <v>46.45</v>
      </c>
      <c r="E574">
        <v>-112.2</v>
      </c>
      <c r="F574">
        <v>6480</v>
      </c>
      <c r="K574">
        <v>0</v>
      </c>
      <c r="O574" t="s">
        <v>57</v>
      </c>
      <c r="Q574" t="s">
        <v>21</v>
      </c>
    </row>
    <row r="575" spans="1:17" x14ac:dyDescent="0.25">
      <c r="A575" t="s">
        <v>2631</v>
      </c>
      <c r="B575" t="s">
        <v>2632</v>
      </c>
      <c r="C575" t="s">
        <v>19</v>
      </c>
      <c r="D575">
        <v>35.833300000000001</v>
      </c>
      <c r="E575">
        <v>-107.95</v>
      </c>
      <c r="F575">
        <v>5650</v>
      </c>
      <c r="G575" t="s">
        <v>1576</v>
      </c>
      <c r="K575">
        <v>0</v>
      </c>
      <c r="O575" t="s">
        <v>30</v>
      </c>
      <c r="Q575" t="s">
        <v>2284</v>
      </c>
    </row>
    <row r="576" spans="1:17" x14ac:dyDescent="0.25">
      <c r="A576" t="s">
        <v>2633</v>
      </c>
      <c r="B576" t="s">
        <v>2634</v>
      </c>
      <c r="C576" t="s">
        <v>2283</v>
      </c>
      <c r="D576">
        <v>36.7286</v>
      </c>
      <c r="E576">
        <v>-108.2667</v>
      </c>
      <c r="F576">
        <v>5260</v>
      </c>
      <c r="G576" t="s">
        <v>1576</v>
      </c>
      <c r="K576">
        <v>0</v>
      </c>
      <c r="O576" t="s">
        <v>20</v>
      </c>
      <c r="Q576" t="s">
        <v>2284</v>
      </c>
    </row>
    <row r="577" spans="1:17" x14ac:dyDescent="0.25">
      <c r="A577" t="s">
        <v>558</v>
      </c>
      <c r="B577" t="s">
        <v>559</v>
      </c>
      <c r="C577" t="s">
        <v>19</v>
      </c>
      <c r="D577">
        <v>39.244999999999997</v>
      </c>
      <c r="E577">
        <v>-106.53111</v>
      </c>
      <c r="K577">
        <v>0</v>
      </c>
      <c r="O577" t="s">
        <v>20</v>
      </c>
      <c r="Q577" t="s">
        <v>21</v>
      </c>
    </row>
    <row r="578" spans="1:17" x14ac:dyDescent="0.25">
      <c r="A578" t="s">
        <v>560</v>
      </c>
      <c r="B578" t="s">
        <v>561</v>
      </c>
      <c r="C578" t="s">
        <v>19</v>
      </c>
      <c r="D578">
        <v>39.362499999999997</v>
      </c>
      <c r="E578">
        <v>-106.72638999999999</v>
      </c>
      <c r="K578">
        <v>0</v>
      </c>
      <c r="O578" t="s">
        <v>51</v>
      </c>
      <c r="Q578" t="s">
        <v>21</v>
      </c>
    </row>
    <row r="579" spans="1:17" x14ac:dyDescent="0.25">
      <c r="A579" t="s">
        <v>564</v>
      </c>
      <c r="B579" t="s">
        <v>565</v>
      </c>
      <c r="C579" t="s">
        <v>19</v>
      </c>
      <c r="D579">
        <v>39.365549999999999</v>
      </c>
      <c r="E579">
        <v>-106.825</v>
      </c>
      <c r="K579">
        <v>0</v>
      </c>
      <c r="O579" t="s">
        <v>51</v>
      </c>
      <c r="Q579" t="s">
        <v>21</v>
      </c>
    </row>
    <row r="580" spans="1:17" x14ac:dyDescent="0.25">
      <c r="A580" t="s">
        <v>566</v>
      </c>
      <c r="B580" t="s">
        <v>567</v>
      </c>
      <c r="C580" t="s">
        <v>19</v>
      </c>
      <c r="D580">
        <v>39.344720000000002</v>
      </c>
      <c r="E580">
        <v>-106.67305</v>
      </c>
      <c r="K580">
        <v>0</v>
      </c>
      <c r="O580" t="s">
        <v>51</v>
      </c>
      <c r="Q580" t="s">
        <v>21</v>
      </c>
    </row>
    <row r="581" spans="1:17" x14ac:dyDescent="0.25">
      <c r="A581" t="s">
        <v>576</v>
      </c>
      <c r="B581" t="s">
        <v>577</v>
      </c>
      <c r="C581" t="s">
        <v>26</v>
      </c>
      <c r="D581">
        <v>41.411670000000001</v>
      </c>
      <c r="E581">
        <v>-98.746669999999995</v>
      </c>
      <c r="K581">
        <v>0</v>
      </c>
      <c r="O581" t="s">
        <v>34</v>
      </c>
      <c r="Q581" t="s">
        <v>21</v>
      </c>
    </row>
    <row r="582" spans="1:17" x14ac:dyDescent="0.25">
      <c r="A582" t="s">
        <v>630</v>
      </c>
      <c r="B582" t="s">
        <v>631</v>
      </c>
      <c r="C582" t="s">
        <v>41</v>
      </c>
      <c r="D582">
        <v>45.497500000000002</v>
      </c>
      <c r="E582">
        <v>-111.42</v>
      </c>
      <c r="K582">
        <v>0</v>
      </c>
      <c r="O582" t="s">
        <v>51</v>
      </c>
      <c r="Q582" t="s">
        <v>21</v>
      </c>
    </row>
    <row r="583" spans="1:17" x14ac:dyDescent="0.25">
      <c r="A583" t="s">
        <v>813</v>
      </c>
      <c r="B583" t="s">
        <v>814</v>
      </c>
      <c r="C583" t="s">
        <v>41</v>
      </c>
      <c r="D583">
        <v>45.884450000000001</v>
      </c>
      <c r="E583">
        <v>-111.42667</v>
      </c>
      <c r="K583">
        <v>0</v>
      </c>
      <c r="O583" t="s">
        <v>51</v>
      </c>
      <c r="Q583" t="s">
        <v>21</v>
      </c>
    </row>
    <row r="584" spans="1:17" x14ac:dyDescent="0.25">
      <c r="A584" t="s">
        <v>2639</v>
      </c>
      <c r="B584" t="s">
        <v>2640</v>
      </c>
      <c r="C584" t="s">
        <v>2283</v>
      </c>
      <c r="D584">
        <v>36.647799999999997</v>
      </c>
      <c r="E584">
        <v>-108.125</v>
      </c>
      <c r="F584">
        <v>0</v>
      </c>
      <c r="G584" t="s">
        <v>1576</v>
      </c>
      <c r="K584">
        <v>0</v>
      </c>
      <c r="O584" t="s">
        <v>51</v>
      </c>
      <c r="Q584" t="s">
        <v>2284</v>
      </c>
    </row>
    <row r="585" spans="1:17" x14ac:dyDescent="0.25">
      <c r="A585" t="s">
        <v>2641</v>
      </c>
      <c r="B585" t="s">
        <v>2642</v>
      </c>
      <c r="C585" t="s">
        <v>2283</v>
      </c>
      <c r="D585">
        <v>36.183300000000003</v>
      </c>
      <c r="E585">
        <v>-105.55</v>
      </c>
      <c r="F585">
        <v>9800</v>
      </c>
      <c r="G585" t="s">
        <v>1576</v>
      </c>
      <c r="K585">
        <v>0</v>
      </c>
      <c r="O585" t="s">
        <v>57</v>
      </c>
      <c r="Q585" t="s">
        <v>2284</v>
      </c>
    </row>
    <row r="586" spans="1:17" x14ac:dyDescent="0.25">
      <c r="A586" t="s">
        <v>2643</v>
      </c>
      <c r="B586" t="s">
        <v>2644</v>
      </c>
      <c r="C586" t="s">
        <v>2283</v>
      </c>
      <c r="D586">
        <v>35.468000000000004</v>
      </c>
      <c r="E586">
        <v>-105.1614</v>
      </c>
      <c r="G586" t="s">
        <v>1576</v>
      </c>
      <c r="K586">
        <v>0</v>
      </c>
      <c r="O586" t="s">
        <v>51</v>
      </c>
      <c r="Q586" t="s">
        <v>2284</v>
      </c>
    </row>
    <row r="587" spans="1:17" x14ac:dyDescent="0.25">
      <c r="A587" t="s">
        <v>2645</v>
      </c>
      <c r="B587" t="s">
        <v>2646</v>
      </c>
      <c r="C587" t="s">
        <v>2283</v>
      </c>
      <c r="D587">
        <v>36.034999999999997</v>
      </c>
      <c r="E587">
        <v>-107.8903</v>
      </c>
      <c r="F587">
        <v>0</v>
      </c>
      <c r="G587" t="s">
        <v>1576</v>
      </c>
      <c r="K587">
        <v>0</v>
      </c>
      <c r="O587" t="s">
        <v>51</v>
      </c>
      <c r="Q587" t="s">
        <v>2284</v>
      </c>
    </row>
    <row r="588" spans="1:17" x14ac:dyDescent="0.25">
      <c r="A588" t="s">
        <v>1716</v>
      </c>
      <c r="B588" t="s">
        <v>1717</v>
      </c>
      <c r="C588" t="s">
        <v>1628</v>
      </c>
      <c r="D588">
        <v>47.043880000000001</v>
      </c>
      <c r="E588">
        <v>-119.64221999999999</v>
      </c>
      <c r="F588">
        <v>350.52</v>
      </c>
      <c r="G588" t="s">
        <v>1589</v>
      </c>
      <c r="H588" s="1">
        <v>31533</v>
      </c>
      <c r="J588" t="s">
        <v>1577</v>
      </c>
      <c r="K588">
        <v>0</v>
      </c>
      <c r="L588" t="s">
        <v>1578</v>
      </c>
      <c r="O588" t="s">
        <v>151</v>
      </c>
      <c r="P588" t="s">
        <v>1585</v>
      </c>
      <c r="Q588" t="s">
        <v>1580</v>
      </c>
    </row>
    <row r="589" spans="1:17" x14ac:dyDescent="0.25">
      <c r="A589" t="s">
        <v>588</v>
      </c>
      <c r="B589" t="s">
        <v>589</v>
      </c>
      <c r="C589" t="s">
        <v>26</v>
      </c>
      <c r="D589">
        <v>41.85333</v>
      </c>
      <c r="E589">
        <v>-103.71554999999999</v>
      </c>
      <c r="K589">
        <v>0</v>
      </c>
      <c r="O589" t="s">
        <v>34</v>
      </c>
      <c r="Q589" t="s">
        <v>21</v>
      </c>
    </row>
    <row r="590" spans="1:17" x14ac:dyDescent="0.25">
      <c r="A590" t="s">
        <v>2109</v>
      </c>
      <c r="B590" t="s">
        <v>2110</v>
      </c>
      <c r="C590" t="s">
        <v>1987</v>
      </c>
      <c r="D590">
        <v>32.876100000000001</v>
      </c>
      <c r="E590">
        <v>-114.455</v>
      </c>
      <c r="G590" t="s">
        <v>1576</v>
      </c>
      <c r="K590">
        <v>0</v>
      </c>
      <c r="O590" t="s">
        <v>34</v>
      </c>
      <c r="Q590" t="s">
        <v>1988</v>
      </c>
    </row>
    <row r="591" spans="1:17" x14ac:dyDescent="0.25">
      <c r="A591" t="s">
        <v>580</v>
      </c>
      <c r="B591" t="s">
        <v>581</v>
      </c>
      <c r="C591" t="s">
        <v>41</v>
      </c>
      <c r="D591">
        <v>47.6</v>
      </c>
      <c r="E591">
        <v>-112.76667</v>
      </c>
      <c r="F591">
        <v>4590</v>
      </c>
      <c r="K591">
        <v>0</v>
      </c>
      <c r="O591" t="s">
        <v>118</v>
      </c>
      <c r="Q591" t="s">
        <v>21</v>
      </c>
    </row>
    <row r="592" spans="1:17" x14ac:dyDescent="0.25">
      <c r="A592" t="s">
        <v>596</v>
      </c>
      <c r="B592" t="s">
        <v>597</v>
      </c>
      <c r="C592" t="s">
        <v>41</v>
      </c>
      <c r="D592">
        <v>47.600830000000002</v>
      </c>
      <c r="E592">
        <v>-112.76167</v>
      </c>
      <c r="K592">
        <v>0</v>
      </c>
      <c r="O592" t="s">
        <v>30</v>
      </c>
      <c r="P592" t="s">
        <v>324</v>
      </c>
      <c r="Q592" t="s">
        <v>21</v>
      </c>
    </row>
    <row r="593" spans="1:17" x14ac:dyDescent="0.25">
      <c r="A593" t="s">
        <v>2111</v>
      </c>
      <c r="B593" t="s">
        <v>2112</v>
      </c>
      <c r="C593" t="s">
        <v>1987</v>
      </c>
      <c r="D593">
        <v>32.876100000000001</v>
      </c>
      <c r="E593">
        <v>-114.455</v>
      </c>
      <c r="F593">
        <v>179.5</v>
      </c>
      <c r="G593" t="s">
        <v>1576</v>
      </c>
      <c r="K593">
        <v>0</v>
      </c>
      <c r="O593" t="s">
        <v>20</v>
      </c>
      <c r="Q593" t="s">
        <v>1988</v>
      </c>
    </row>
    <row r="594" spans="1:17" x14ac:dyDescent="0.25">
      <c r="A594" t="s">
        <v>2113</v>
      </c>
      <c r="B594" t="s">
        <v>2114</v>
      </c>
      <c r="C594" t="s">
        <v>1987</v>
      </c>
      <c r="D594">
        <v>32.880000000000003</v>
      </c>
      <c r="E594">
        <v>-114.46</v>
      </c>
      <c r="G594" t="s">
        <v>1576</v>
      </c>
      <c r="K594">
        <v>0</v>
      </c>
      <c r="O594" t="s">
        <v>20</v>
      </c>
      <c r="Q594" t="s">
        <v>1988</v>
      </c>
    </row>
    <row r="595" spans="1:17" x14ac:dyDescent="0.25">
      <c r="A595" t="s">
        <v>2115</v>
      </c>
      <c r="B595" t="s">
        <v>2116</v>
      </c>
      <c r="C595" t="s">
        <v>1987</v>
      </c>
      <c r="D595">
        <v>32.882199999999997</v>
      </c>
      <c r="E595">
        <v>-113.5406</v>
      </c>
      <c r="F595">
        <v>377.6</v>
      </c>
      <c r="G595" t="s">
        <v>1576</v>
      </c>
      <c r="K595">
        <v>0</v>
      </c>
      <c r="O595" t="s">
        <v>51</v>
      </c>
      <c r="Q595" t="s">
        <v>1988</v>
      </c>
    </row>
    <row r="596" spans="1:17" x14ac:dyDescent="0.25">
      <c r="A596" t="s">
        <v>2117</v>
      </c>
      <c r="B596" t="s">
        <v>2118</v>
      </c>
      <c r="C596" t="s">
        <v>1987</v>
      </c>
      <c r="D596">
        <v>32.761099999999999</v>
      </c>
      <c r="E596">
        <v>-114.41970000000001</v>
      </c>
      <c r="F596">
        <v>156.1</v>
      </c>
      <c r="G596" t="s">
        <v>1576</v>
      </c>
      <c r="K596">
        <v>0</v>
      </c>
      <c r="O596" t="s">
        <v>51</v>
      </c>
      <c r="Q596" t="s">
        <v>1988</v>
      </c>
    </row>
    <row r="597" spans="1:17" x14ac:dyDescent="0.25">
      <c r="A597" t="s">
        <v>2119</v>
      </c>
      <c r="B597" t="s">
        <v>2120</v>
      </c>
      <c r="C597" t="s">
        <v>1987</v>
      </c>
      <c r="D597">
        <v>33.075000000000003</v>
      </c>
      <c r="E597">
        <v>-113.01390000000001</v>
      </c>
      <c r="F597">
        <v>524.9</v>
      </c>
      <c r="G597" t="s">
        <v>1576</v>
      </c>
      <c r="K597">
        <v>0</v>
      </c>
      <c r="O597" t="s">
        <v>51</v>
      </c>
      <c r="Q597" t="s">
        <v>1988</v>
      </c>
    </row>
    <row r="598" spans="1:17" x14ac:dyDescent="0.25">
      <c r="A598" t="s">
        <v>602</v>
      </c>
      <c r="B598" t="s">
        <v>603</v>
      </c>
      <c r="C598" t="s">
        <v>41</v>
      </c>
      <c r="D598">
        <v>48.372219999999999</v>
      </c>
      <c r="E598">
        <v>-106.97305</v>
      </c>
      <c r="K598">
        <v>0</v>
      </c>
      <c r="O598" t="s">
        <v>34</v>
      </c>
      <c r="Q598" t="s">
        <v>21</v>
      </c>
    </row>
    <row r="599" spans="1:17" x14ac:dyDescent="0.25">
      <c r="A599" t="s">
        <v>606</v>
      </c>
      <c r="B599" t="s">
        <v>607</v>
      </c>
      <c r="C599" t="s">
        <v>41</v>
      </c>
      <c r="D599">
        <v>48.14667</v>
      </c>
      <c r="E599">
        <v>-106.60056</v>
      </c>
      <c r="F599">
        <v>2084</v>
      </c>
      <c r="K599">
        <v>0</v>
      </c>
      <c r="O599" t="s">
        <v>151</v>
      </c>
      <c r="Q599" t="s">
        <v>21</v>
      </c>
    </row>
    <row r="600" spans="1:17" x14ac:dyDescent="0.25">
      <c r="A600" t="s">
        <v>604</v>
      </c>
      <c r="B600" t="s">
        <v>605</v>
      </c>
      <c r="C600" t="s">
        <v>37</v>
      </c>
      <c r="D600">
        <v>42.477220000000003</v>
      </c>
      <c r="E600">
        <v>-104.95055000000001</v>
      </c>
      <c r="F600">
        <v>4520</v>
      </c>
      <c r="H600" s="1">
        <v>39367</v>
      </c>
      <c r="K600">
        <v>0</v>
      </c>
      <c r="O600" t="s">
        <v>30</v>
      </c>
      <c r="P600" t="s">
        <v>54</v>
      </c>
      <c r="Q600" t="s">
        <v>21</v>
      </c>
    </row>
    <row r="601" spans="1:17" x14ac:dyDescent="0.25">
      <c r="A601" t="s">
        <v>1718</v>
      </c>
      <c r="B601" t="s">
        <v>1719</v>
      </c>
      <c r="C601" t="s">
        <v>410</v>
      </c>
      <c r="D601">
        <v>42.866660000000003</v>
      </c>
      <c r="E601">
        <v>-115.35693999999999</v>
      </c>
      <c r="F601">
        <v>922.02</v>
      </c>
      <c r="G601" t="s">
        <v>1576</v>
      </c>
      <c r="H601" s="1">
        <v>33923</v>
      </c>
      <c r="J601" t="s">
        <v>1577</v>
      </c>
      <c r="K601">
        <v>0</v>
      </c>
      <c r="L601" t="s">
        <v>1578</v>
      </c>
      <c r="O601" t="s">
        <v>151</v>
      </c>
      <c r="P601" t="s">
        <v>1585</v>
      </c>
      <c r="Q601" t="s">
        <v>1580</v>
      </c>
    </row>
    <row r="602" spans="1:17" x14ac:dyDescent="0.25">
      <c r="A602" t="s">
        <v>2121</v>
      </c>
      <c r="B602" t="s">
        <v>2122</v>
      </c>
      <c r="C602" t="s">
        <v>1987</v>
      </c>
      <c r="D602">
        <v>34.6</v>
      </c>
      <c r="E602">
        <v>-114.58</v>
      </c>
      <c r="G602" t="s">
        <v>1576</v>
      </c>
      <c r="K602">
        <v>0</v>
      </c>
      <c r="O602" t="s">
        <v>20</v>
      </c>
      <c r="Q602" t="s">
        <v>1988</v>
      </c>
    </row>
    <row r="603" spans="1:17" x14ac:dyDescent="0.25">
      <c r="A603" t="s">
        <v>1720</v>
      </c>
      <c r="B603" t="s">
        <v>1721</v>
      </c>
      <c r="C603" t="s">
        <v>1628</v>
      </c>
      <c r="D603">
        <v>45.81194</v>
      </c>
      <c r="E603">
        <v>-120.82444</v>
      </c>
      <c r="F603">
        <v>512.05999999999995</v>
      </c>
      <c r="G603" t="s">
        <v>1589</v>
      </c>
      <c r="H603" s="1">
        <v>33535</v>
      </c>
      <c r="J603" t="s">
        <v>1577</v>
      </c>
      <c r="K603">
        <v>0</v>
      </c>
      <c r="L603" t="s">
        <v>1578</v>
      </c>
      <c r="O603" t="s">
        <v>151</v>
      </c>
      <c r="P603" t="s">
        <v>1585</v>
      </c>
      <c r="Q603" t="s">
        <v>1580</v>
      </c>
    </row>
    <row r="604" spans="1:17" x14ac:dyDescent="0.25">
      <c r="A604" t="s">
        <v>3491</v>
      </c>
      <c r="B604" t="s">
        <v>3492</v>
      </c>
      <c r="C604" t="s">
        <v>1643</v>
      </c>
      <c r="D604">
        <v>37.8628</v>
      </c>
      <c r="E604">
        <v>-120.6297</v>
      </c>
      <c r="F604">
        <v>359</v>
      </c>
      <c r="G604" t="s">
        <v>1589</v>
      </c>
      <c r="K604">
        <v>0</v>
      </c>
      <c r="O604" t="s">
        <v>30</v>
      </c>
      <c r="Q604" t="s">
        <v>3478</v>
      </c>
    </row>
    <row r="605" spans="1:17" x14ac:dyDescent="0.25">
      <c r="A605" t="s">
        <v>2647</v>
      </c>
      <c r="B605" t="s">
        <v>2648</v>
      </c>
      <c r="C605" t="s">
        <v>1622</v>
      </c>
      <c r="D605">
        <v>38.799999999999997</v>
      </c>
      <c r="E605">
        <v>-111.6833</v>
      </c>
      <c r="F605">
        <v>7920</v>
      </c>
      <c r="G605" t="s">
        <v>1576</v>
      </c>
      <c r="K605">
        <v>0</v>
      </c>
      <c r="O605" t="s">
        <v>57</v>
      </c>
      <c r="Q605" t="s">
        <v>2284</v>
      </c>
    </row>
    <row r="606" spans="1:17" x14ac:dyDescent="0.25">
      <c r="A606" t="s">
        <v>594</v>
      </c>
      <c r="B606" t="s">
        <v>595</v>
      </c>
      <c r="C606" t="s">
        <v>19</v>
      </c>
      <c r="D606">
        <v>39.173340000000003</v>
      </c>
      <c r="E606">
        <v>-108.30056</v>
      </c>
      <c r="K606">
        <v>0</v>
      </c>
      <c r="O606" t="s">
        <v>34</v>
      </c>
      <c r="Q606" t="s">
        <v>21</v>
      </c>
    </row>
    <row r="607" spans="1:17" x14ac:dyDescent="0.25">
      <c r="A607" t="s">
        <v>1722</v>
      </c>
      <c r="B607" t="s">
        <v>1723</v>
      </c>
      <c r="C607" t="s">
        <v>410</v>
      </c>
      <c r="D607">
        <v>42.514960000000002</v>
      </c>
      <c r="E607">
        <v>-111.73605999999999</v>
      </c>
      <c r="F607">
        <v>1661</v>
      </c>
      <c r="G607" t="s">
        <v>1576</v>
      </c>
      <c r="H607" s="1">
        <v>41711</v>
      </c>
      <c r="J607" t="s">
        <v>1577</v>
      </c>
      <c r="K607">
        <v>0</v>
      </c>
      <c r="L607" t="s">
        <v>1578</v>
      </c>
      <c r="O607" t="s">
        <v>151</v>
      </c>
      <c r="P607" t="s">
        <v>1585</v>
      </c>
      <c r="Q607" t="s">
        <v>1580</v>
      </c>
    </row>
    <row r="608" spans="1:17" x14ac:dyDescent="0.25">
      <c r="A608" t="s">
        <v>2649</v>
      </c>
      <c r="B608" t="s">
        <v>2650</v>
      </c>
      <c r="C608" t="s">
        <v>19</v>
      </c>
      <c r="D608">
        <v>40.105499999999999</v>
      </c>
      <c r="E608">
        <v>-105.5214</v>
      </c>
      <c r="F608">
        <v>8279.5</v>
      </c>
      <c r="G608" t="s">
        <v>1576</v>
      </c>
      <c r="K608">
        <v>0</v>
      </c>
      <c r="O608" t="s">
        <v>30</v>
      </c>
      <c r="Q608" t="s">
        <v>2284</v>
      </c>
    </row>
    <row r="609" spans="1:17" x14ac:dyDescent="0.25">
      <c r="A609" t="s">
        <v>614</v>
      </c>
      <c r="B609" t="s">
        <v>615</v>
      </c>
      <c r="C609" t="s">
        <v>19</v>
      </c>
      <c r="D609">
        <v>40.181950000000001</v>
      </c>
      <c r="E609">
        <v>-105.87056</v>
      </c>
      <c r="K609">
        <v>0</v>
      </c>
      <c r="O609" t="s">
        <v>30</v>
      </c>
      <c r="Q609" t="s">
        <v>21</v>
      </c>
    </row>
    <row r="610" spans="1:17" x14ac:dyDescent="0.25">
      <c r="A610" t="s">
        <v>1712</v>
      </c>
      <c r="B610" t="s">
        <v>1713</v>
      </c>
      <c r="C610" t="s">
        <v>1628</v>
      </c>
      <c r="D610">
        <v>47.945270000000001</v>
      </c>
      <c r="E610">
        <v>-118.95361</v>
      </c>
      <c r="F610">
        <v>402.34</v>
      </c>
      <c r="G610" t="s">
        <v>1589</v>
      </c>
      <c r="H610" s="1">
        <v>37362</v>
      </c>
      <c r="J610" t="s">
        <v>1577</v>
      </c>
      <c r="K610">
        <v>0</v>
      </c>
      <c r="L610" t="s">
        <v>1578</v>
      </c>
      <c r="O610" t="s">
        <v>151</v>
      </c>
      <c r="P610" t="s">
        <v>1585</v>
      </c>
      <c r="Q610" t="s">
        <v>1580</v>
      </c>
    </row>
    <row r="611" spans="1:17" x14ac:dyDescent="0.25">
      <c r="A611" t="s">
        <v>622</v>
      </c>
      <c r="B611" t="s">
        <v>623</v>
      </c>
      <c r="C611" t="s">
        <v>19</v>
      </c>
      <c r="D611">
        <v>40.419449999999998</v>
      </c>
      <c r="E611">
        <v>-105.86333</v>
      </c>
      <c r="K611">
        <v>0</v>
      </c>
      <c r="O611" t="s">
        <v>34</v>
      </c>
      <c r="Q611" t="s">
        <v>21</v>
      </c>
    </row>
    <row r="612" spans="1:17" x14ac:dyDescent="0.25">
      <c r="A612" t="s">
        <v>634</v>
      </c>
      <c r="B612" t="s">
        <v>635</v>
      </c>
      <c r="C612" t="s">
        <v>19</v>
      </c>
      <c r="D612">
        <v>40.236669999999997</v>
      </c>
      <c r="E612">
        <v>-105.80305</v>
      </c>
      <c r="K612">
        <v>0</v>
      </c>
      <c r="O612" t="s">
        <v>30</v>
      </c>
      <c r="Q612" t="s">
        <v>21</v>
      </c>
    </row>
    <row r="613" spans="1:17" x14ac:dyDescent="0.25">
      <c r="A613" t="s">
        <v>598</v>
      </c>
      <c r="B613" t="s">
        <v>599</v>
      </c>
      <c r="C613" t="s">
        <v>19</v>
      </c>
      <c r="D613">
        <v>40.236669999999997</v>
      </c>
      <c r="E613">
        <v>-105.80305</v>
      </c>
      <c r="K613">
        <v>0</v>
      </c>
      <c r="O613" t="s">
        <v>30</v>
      </c>
      <c r="Q613" t="s">
        <v>21</v>
      </c>
    </row>
    <row r="614" spans="1:17" x14ac:dyDescent="0.25">
      <c r="A614" t="s">
        <v>616</v>
      </c>
      <c r="B614" t="s">
        <v>617</v>
      </c>
      <c r="C614" t="s">
        <v>19</v>
      </c>
      <c r="D614">
        <v>40.236669999999997</v>
      </c>
      <c r="E614">
        <v>-105.80305</v>
      </c>
      <c r="K614">
        <v>0</v>
      </c>
      <c r="O614" t="s">
        <v>30</v>
      </c>
      <c r="Q614" t="s">
        <v>21</v>
      </c>
    </row>
    <row r="615" spans="1:17" x14ac:dyDescent="0.25">
      <c r="A615" t="s">
        <v>600</v>
      </c>
      <c r="B615" t="s">
        <v>601</v>
      </c>
      <c r="C615" t="s">
        <v>19</v>
      </c>
      <c r="D615">
        <v>40.241669999999999</v>
      </c>
      <c r="E615">
        <v>-105.80222000000001</v>
      </c>
      <c r="K615">
        <v>0</v>
      </c>
      <c r="O615" t="s">
        <v>30</v>
      </c>
      <c r="P615" t="s">
        <v>38</v>
      </c>
      <c r="Q615" t="s">
        <v>21</v>
      </c>
    </row>
    <row r="616" spans="1:17" x14ac:dyDescent="0.25">
      <c r="A616" t="s">
        <v>624</v>
      </c>
      <c r="B616" t="s">
        <v>625</v>
      </c>
      <c r="C616" t="s">
        <v>19</v>
      </c>
      <c r="D616">
        <v>39.098329999999997</v>
      </c>
      <c r="E616">
        <v>-108.35333</v>
      </c>
      <c r="K616">
        <v>0</v>
      </c>
      <c r="O616" t="s">
        <v>34</v>
      </c>
      <c r="Q616" t="s">
        <v>21</v>
      </c>
    </row>
    <row r="617" spans="1:17" x14ac:dyDescent="0.25">
      <c r="A617" t="s">
        <v>1714</v>
      </c>
      <c r="B617" t="s">
        <v>1715</v>
      </c>
      <c r="C617" t="s">
        <v>410</v>
      </c>
      <c r="D617">
        <v>42.912500000000001</v>
      </c>
      <c r="E617">
        <v>-116.05611</v>
      </c>
      <c r="F617">
        <v>786.38</v>
      </c>
      <c r="G617" t="s">
        <v>1576</v>
      </c>
      <c r="H617" s="1">
        <v>33878</v>
      </c>
      <c r="J617" t="s">
        <v>1577</v>
      </c>
      <c r="K617">
        <v>0</v>
      </c>
      <c r="L617" t="s">
        <v>1578</v>
      </c>
      <c r="O617" t="s">
        <v>151</v>
      </c>
      <c r="P617" t="s">
        <v>1585</v>
      </c>
      <c r="Q617" t="s">
        <v>1580</v>
      </c>
    </row>
    <row r="618" spans="1:17" x14ac:dyDescent="0.25">
      <c r="A618" t="s">
        <v>638</v>
      </c>
      <c r="B618" t="s">
        <v>639</v>
      </c>
      <c r="C618" t="s">
        <v>19</v>
      </c>
      <c r="D618">
        <v>39.267499999999998</v>
      </c>
      <c r="E618">
        <v>-106.55417</v>
      </c>
      <c r="K618">
        <v>0</v>
      </c>
      <c r="O618" t="s">
        <v>20</v>
      </c>
      <c r="Q618" t="s">
        <v>21</v>
      </c>
    </row>
    <row r="619" spans="1:17" x14ac:dyDescent="0.25">
      <c r="A619" t="s">
        <v>1728</v>
      </c>
      <c r="B619" t="s">
        <v>1729</v>
      </c>
      <c r="C619" t="s">
        <v>1622</v>
      </c>
      <c r="D619">
        <v>40.530543999999999</v>
      </c>
      <c r="E619">
        <v>-112.75652700000001</v>
      </c>
      <c r="F619">
        <v>1331</v>
      </c>
      <c r="G619" t="s">
        <v>1576</v>
      </c>
      <c r="H619" s="1">
        <v>42073</v>
      </c>
      <c r="J619" t="s">
        <v>1577</v>
      </c>
      <c r="K619">
        <v>0</v>
      </c>
      <c r="L619" t="s">
        <v>1578</v>
      </c>
      <c r="O619" t="s">
        <v>151</v>
      </c>
      <c r="P619" t="s">
        <v>1585</v>
      </c>
      <c r="Q619" t="s">
        <v>1580</v>
      </c>
    </row>
    <row r="620" spans="1:17" x14ac:dyDescent="0.25">
      <c r="A620" t="s">
        <v>592</v>
      </c>
      <c r="B620" t="s">
        <v>593</v>
      </c>
      <c r="C620" t="s">
        <v>41</v>
      </c>
      <c r="D620">
        <v>45.155279999999998</v>
      </c>
      <c r="E620">
        <v>-112.97861</v>
      </c>
      <c r="K620">
        <v>0</v>
      </c>
      <c r="O620" t="s">
        <v>51</v>
      </c>
      <c r="Q620" t="s">
        <v>21</v>
      </c>
    </row>
    <row r="621" spans="1:17" x14ac:dyDescent="0.25">
      <c r="A621" t="s">
        <v>1726</v>
      </c>
      <c r="B621" t="s">
        <v>1727</v>
      </c>
      <c r="C621" t="s">
        <v>37</v>
      </c>
      <c r="D621">
        <v>44.129659089999997</v>
      </c>
      <c r="E621">
        <v>-110.8193888</v>
      </c>
      <c r="F621">
        <v>7135</v>
      </c>
      <c r="G621" t="s">
        <v>1576</v>
      </c>
      <c r="H621" s="2">
        <v>0</v>
      </c>
      <c r="J621" t="s">
        <v>1594</v>
      </c>
      <c r="K621">
        <v>0</v>
      </c>
      <c r="L621" t="s">
        <v>1599</v>
      </c>
      <c r="O621" t="s">
        <v>30</v>
      </c>
      <c r="P621" t="s">
        <v>1585</v>
      </c>
      <c r="Q621" t="s">
        <v>1580</v>
      </c>
    </row>
    <row r="622" spans="1:17" x14ac:dyDescent="0.25">
      <c r="A622" t="s">
        <v>640</v>
      </c>
      <c r="B622" t="s">
        <v>641</v>
      </c>
      <c r="C622" t="s">
        <v>37</v>
      </c>
      <c r="D622">
        <v>43.470280000000002</v>
      </c>
      <c r="E622">
        <v>-107.22556</v>
      </c>
      <c r="F622">
        <v>8550</v>
      </c>
      <c r="K622">
        <v>0</v>
      </c>
      <c r="O622" t="s">
        <v>57</v>
      </c>
      <c r="Q622" t="s">
        <v>21</v>
      </c>
    </row>
    <row r="623" spans="1:17" x14ac:dyDescent="0.25">
      <c r="A623" t="s">
        <v>584</v>
      </c>
      <c r="B623" t="s">
        <v>585</v>
      </c>
      <c r="C623" t="s">
        <v>37</v>
      </c>
      <c r="D623">
        <v>42.565559999999998</v>
      </c>
      <c r="E623">
        <v>-106.69889000000001</v>
      </c>
      <c r="K623">
        <v>0</v>
      </c>
      <c r="O623" t="s">
        <v>30</v>
      </c>
      <c r="P623" t="s">
        <v>54</v>
      </c>
      <c r="Q623" t="s">
        <v>21</v>
      </c>
    </row>
    <row r="624" spans="1:17" x14ac:dyDescent="0.25">
      <c r="A624" t="s">
        <v>618</v>
      </c>
      <c r="B624" t="s">
        <v>619</v>
      </c>
      <c r="C624" t="s">
        <v>37</v>
      </c>
      <c r="D624">
        <v>42.563330000000001</v>
      </c>
      <c r="E624">
        <v>-106.69667</v>
      </c>
      <c r="K624">
        <v>0</v>
      </c>
      <c r="O624" t="s">
        <v>30</v>
      </c>
      <c r="Q624" t="s">
        <v>21</v>
      </c>
    </row>
    <row r="625" spans="1:17" x14ac:dyDescent="0.25">
      <c r="A625" t="s">
        <v>2651</v>
      </c>
      <c r="B625" t="s">
        <v>2652</v>
      </c>
      <c r="C625" t="s">
        <v>19</v>
      </c>
      <c r="D625">
        <v>37.47</v>
      </c>
      <c r="E625">
        <v>-106.5378</v>
      </c>
      <c r="F625">
        <v>11620</v>
      </c>
      <c r="G625" t="s">
        <v>1576</v>
      </c>
      <c r="K625">
        <v>0</v>
      </c>
      <c r="O625" t="s">
        <v>57</v>
      </c>
      <c r="Q625" t="s">
        <v>2284</v>
      </c>
    </row>
    <row r="626" spans="1:17" x14ac:dyDescent="0.25">
      <c r="A626" t="s">
        <v>2653</v>
      </c>
      <c r="B626" t="s">
        <v>2654</v>
      </c>
      <c r="C626" t="s">
        <v>19</v>
      </c>
      <c r="D626">
        <v>39.5242</v>
      </c>
      <c r="E626">
        <v>-106.19450000000001</v>
      </c>
      <c r="F626">
        <v>7950</v>
      </c>
      <c r="G626" t="s">
        <v>1576</v>
      </c>
      <c r="K626">
        <v>0</v>
      </c>
      <c r="O626" t="s">
        <v>30</v>
      </c>
      <c r="Q626" t="s">
        <v>2284</v>
      </c>
    </row>
    <row r="627" spans="1:17" x14ac:dyDescent="0.25">
      <c r="A627" t="s">
        <v>610</v>
      </c>
      <c r="B627" t="s">
        <v>611</v>
      </c>
      <c r="C627" t="s">
        <v>19</v>
      </c>
      <c r="D627">
        <v>39.878329999999998</v>
      </c>
      <c r="E627">
        <v>-106.32916</v>
      </c>
      <c r="K627">
        <v>0</v>
      </c>
      <c r="O627" t="s">
        <v>30</v>
      </c>
      <c r="Q627" t="s">
        <v>21</v>
      </c>
    </row>
    <row r="628" spans="1:17" x14ac:dyDescent="0.25">
      <c r="A628" t="s">
        <v>628</v>
      </c>
      <c r="B628" t="s">
        <v>629</v>
      </c>
      <c r="C628" t="s">
        <v>19</v>
      </c>
      <c r="D628">
        <v>39.878889999999998</v>
      </c>
      <c r="E628">
        <v>-106.31334</v>
      </c>
      <c r="K628">
        <v>0</v>
      </c>
      <c r="O628" t="s">
        <v>30</v>
      </c>
      <c r="P628" t="s">
        <v>38</v>
      </c>
      <c r="Q628" t="s">
        <v>21</v>
      </c>
    </row>
    <row r="629" spans="1:17" x14ac:dyDescent="0.25">
      <c r="A629" t="s">
        <v>2655</v>
      </c>
      <c r="B629" t="s">
        <v>2656</v>
      </c>
      <c r="C629" t="s">
        <v>37</v>
      </c>
      <c r="D629">
        <v>42.188299999999998</v>
      </c>
      <c r="E629">
        <v>-110.1656</v>
      </c>
      <c r="G629" t="s">
        <v>1576</v>
      </c>
      <c r="K629">
        <v>0</v>
      </c>
      <c r="O629" t="s">
        <v>51</v>
      </c>
      <c r="Q629" t="s">
        <v>2284</v>
      </c>
    </row>
    <row r="630" spans="1:17" x14ac:dyDescent="0.25">
      <c r="A630" t="s">
        <v>2657</v>
      </c>
      <c r="B630" t="s">
        <v>2658</v>
      </c>
      <c r="C630" t="s">
        <v>1622</v>
      </c>
      <c r="D630">
        <v>38.9861</v>
      </c>
      <c r="E630">
        <v>-110.1506</v>
      </c>
      <c r="F630">
        <v>4040.18</v>
      </c>
      <c r="G630" t="s">
        <v>1576</v>
      </c>
      <c r="K630">
        <v>0</v>
      </c>
      <c r="O630" t="s">
        <v>51</v>
      </c>
      <c r="Q630" t="s">
        <v>2284</v>
      </c>
    </row>
    <row r="631" spans="1:17" x14ac:dyDescent="0.25">
      <c r="A631" t="s">
        <v>2659</v>
      </c>
      <c r="B631" t="s">
        <v>2660</v>
      </c>
      <c r="C631" t="s">
        <v>37</v>
      </c>
      <c r="D631">
        <v>43.018900000000002</v>
      </c>
      <c r="E631">
        <v>-110.11750000000001</v>
      </c>
      <c r="F631">
        <v>7468.09</v>
      </c>
      <c r="G631" t="s">
        <v>1576</v>
      </c>
      <c r="K631">
        <v>0</v>
      </c>
      <c r="O631" t="s">
        <v>51</v>
      </c>
      <c r="Q631" t="s">
        <v>2284</v>
      </c>
    </row>
    <row r="632" spans="1:17" x14ac:dyDescent="0.25">
      <c r="A632" t="s">
        <v>2661</v>
      </c>
      <c r="B632" t="s">
        <v>2662</v>
      </c>
      <c r="C632" t="s">
        <v>37</v>
      </c>
      <c r="D632">
        <v>42.021099999999997</v>
      </c>
      <c r="E632">
        <v>-110.0492</v>
      </c>
      <c r="G632" t="s">
        <v>1576</v>
      </c>
      <c r="K632">
        <v>0</v>
      </c>
      <c r="O632" t="s">
        <v>51</v>
      </c>
      <c r="Q632" t="s">
        <v>2284</v>
      </c>
    </row>
    <row r="633" spans="1:17" x14ac:dyDescent="0.25">
      <c r="A633" t="s">
        <v>2665</v>
      </c>
      <c r="B633" t="s">
        <v>2666</v>
      </c>
      <c r="C633" t="s">
        <v>37</v>
      </c>
      <c r="D633">
        <v>41.516399999999997</v>
      </c>
      <c r="E633">
        <v>-109.4483</v>
      </c>
      <c r="G633" t="s">
        <v>1576</v>
      </c>
      <c r="K633">
        <v>0</v>
      </c>
      <c r="O633" t="s">
        <v>51</v>
      </c>
      <c r="Q633" t="s">
        <v>2284</v>
      </c>
    </row>
    <row r="634" spans="1:17" x14ac:dyDescent="0.25">
      <c r="A634" t="s">
        <v>2663</v>
      </c>
      <c r="B634" t="s">
        <v>2664</v>
      </c>
      <c r="C634" t="s">
        <v>1622</v>
      </c>
      <c r="D634">
        <v>40.908299999999997</v>
      </c>
      <c r="E634">
        <v>-109.4222</v>
      </c>
      <c r="G634" t="s">
        <v>1576</v>
      </c>
      <c r="K634">
        <v>0</v>
      </c>
      <c r="O634" t="s">
        <v>51</v>
      </c>
      <c r="Q634" t="s">
        <v>2284</v>
      </c>
    </row>
    <row r="635" spans="1:17" x14ac:dyDescent="0.25">
      <c r="A635" t="s">
        <v>2667</v>
      </c>
      <c r="B635" t="s">
        <v>2668</v>
      </c>
      <c r="C635" t="s">
        <v>1622</v>
      </c>
      <c r="D635">
        <v>40.409399999999998</v>
      </c>
      <c r="E635">
        <v>-109.2347</v>
      </c>
      <c r="G635" t="s">
        <v>1576</v>
      </c>
      <c r="K635">
        <v>0</v>
      </c>
      <c r="O635" t="s">
        <v>51</v>
      </c>
      <c r="Q635" t="s">
        <v>2284</v>
      </c>
    </row>
    <row r="636" spans="1:17" x14ac:dyDescent="0.25">
      <c r="A636" t="s">
        <v>2669</v>
      </c>
      <c r="B636" t="s">
        <v>2670</v>
      </c>
      <c r="C636" t="s">
        <v>1622</v>
      </c>
      <c r="D636">
        <v>40.966700000000003</v>
      </c>
      <c r="E636">
        <v>-109.5778</v>
      </c>
      <c r="F636">
        <v>5844.64</v>
      </c>
      <c r="G636" t="s">
        <v>1576</v>
      </c>
      <c r="K636">
        <v>0</v>
      </c>
      <c r="O636" t="s">
        <v>51</v>
      </c>
      <c r="Q636" t="s">
        <v>2284</v>
      </c>
    </row>
    <row r="637" spans="1:17" x14ac:dyDescent="0.25">
      <c r="A637" t="s">
        <v>586</v>
      </c>
      <c r="B637" t="s">
        <v>587</v>
      </c>
      <c r="C637" t="s">
        <v>41</v>
      </c>
      <c r="D637">
        <v>47.658340000000003</v>
      </c>
      <c r="E637">
        <v>-111.8125</v>
      </c>
      <c r="F637">
        <v>3820</v>
      </c>
      <c r="K637">
        <v>0</v>
      </c>
      <c r="O637" t="s">
        <v>151</v>
      </c>
      <c r="Q637" t="s">
        <v>21</v>
      </c>
    </row>
    <row r="638" spans="1:17" x14ac:dyDescent="0.25">
      <c r="A638" t="s">
        <v>636</v>
      </c>
      <c r="B638" t="s">
        <v>637</v>
      </c>
      <c r="C638" t="s">
        <v>37</v>
      </c>
      <c r="D638">
        <v>44.155560000000001</v>
      </c>
      <c r="E638">
        <v>-108.87639</v>
      </c>
      <c r="K638">
        <v>0</v>
      </c>
      <c r="O638" t="s">
        <v>51</v>
      </c>
      <c r="Q638" t="s">
        <v>21</v>
      </c>
    </row>
    <row r="639" spans="1:17" x14ac:dyDescent="0.25">
      <c r="A639" t="s">
        <v>1724</v>
      </c>
      <c r="B639" t="s">
        <v>1725</v>
      </c>
      <c r="C639" t="s">
        <v>37</v>
      </c>
      <c r="D639">
        <v>43.142965519999997</v>
      </c>
      <c r="E639">
        <v>-110.9767506</v>
      </c>
      <c r="F639">
        <v>5720</v>
      </c>
      <c r="G639" t="s">
        <v>1576</v>
      </c>
      <c r="H639" s="2">
        <v>0</v>
      </c>
      <c r="I639">
        <v>13023000</v>
      </c>
      <c r="J639" t="s">
        <v>1594</v>
      </c>
      <c r="K639">
        <v>0</v>
      </c>
      <c r="L639" t="s">
        <v>1595</v>
      </c>
      <c r="O639" t="s">
        <v>51</v>
      </c>
      <c r="P639" t="s">
        <v>1596</v>
      </c>
      <c r="Q639" t="s">
        <v>1580</v>
      </c>
    </row>
    <row r="640" spans="1:17" x14ac:dyDescent="0.25">
      <c r="A640" t="s">
        <v>578</v>
      </c>
      <c r="B640" t="s">
        <v>579</v>
      </c>
      <c r="C640" t="s">
        <v>41</v>
      </c>
      <c r="D640">
        <v>48.772219999999997</v>
      </c>
      <c r="E640">
        <v>-113.69722</v>
      </c>
      <c r="K640">
        <v>0</v>
      </c>
      <c r="O640" t="s">
        <v>51</v>
      </c>
      <c r="Q640" t="s">
        <v>21</v>
      </c>
    </row>
    <row r="641" spans="1:17" x14ac:dyDescent="0.25">
      <c r="A641" t="s">
        <v>2671</v>
      </c>
      <c r="B641" t="s">
        <v>2672</v>
      </c>
      <c r="C641" t="s">
        <v>19</v>
      </c>
      <c r="D641">
        <v>39.65</v>
      </c>
      <c r="E641">
        <v>-105.86669999999999</v>
      </c>
      <c r="F641">
        <v>11100</v>
      </c>
      <c r="G641" t="s">
        <v>1576</v>
      </c>
      <c r="K641">
        <v>0</v>
      </c>
      <c r="O641" t="s">
        <v>57</v>
      </c>
      <c r="Q641" t="s">
        <v>2284</v>
      </c>
    </row>
    <row r="642" spans="1:17" x14ac:dyDescent="0.25">
      <c r="A642" t="s">
        <v>632</v>
      </c>
      <c r="B642" t="s">
        <v>633</v>
      </c>
      <c r="C642" t="s">
        <v>19</v>
      </c>
      <c r="D642">
        <v>39.65</v>
      </c>
      <c r="E642">
        <v>-105.86667</v>
      </c>
      <c r="F642">
        <v>11100</v>
      </c>
      <c r="K642">
        <v>0</v>
      </c>
      <c r="O642" t="s">
        <v>57</v>
      </c>
      <c r="Q642" t="s">
        <v>21</v>
      </c>
    </row>
    <row r="643" spans="1:17" x14ac:dyDescent="0.25">
      <c r="A643" t="s">
        <v>2673</v>
      </c>
      <c r="B643" t="s">
        <v>2674</v>
      </c>
      <c r="C643" t="s">
        <v>37</v>
      </c>
      <c r="D643">
        <v>43.383299999999998</v>
      </c>
      <c r="E643">
        <v>-110.13330000000001</v>
      </c>
      <c r="F643">
        <v>8775</v>
      </c>
      <c r="G643" t="s">
        <v>1576</v>
      </c>
      <c r="K643">
        <v>0</v>
      </c>
      <c r="O643" t="s">
        <v>57</v>
      </c>
      <c r="Q643" t="s">
        <v>2284</v>
      </c>
    </row>
    <row r="644" spans="1:17" x14ac:dyDescent="0.25">
      <c r="A644" t="s">
        <v>642</v>
      </c>
      <c r="B644" t="s">
        <v>643</v>
      </c>
      <c r="C644" t="s">
        <v>37</v>
      </c>
      <c r="D644">
        <v>43.383339999999997</v>
      </c>
      <c r="E644">
        <v>-110.13333</v>
      </c>
      <c r="F644">
        <v>8750</v>
      </c>
      <c r="K644">
        <v>0</v>
      </c>
      <c r="O644" t="s">
        <v>57</v>
      </c>
      <c r="Q644" t="s">
        <v>21</v>
      </c>
    </row>
    <row r="645" spans="1:17" x14ac:dyDescent="0.25">
      <c r="A645" t="s">
        <v>646</v>
      </c>
      <c r="B645" t="s">
        <v>647</v>
      </c>
      <c r="C645" t="s">
        <v>37</v>
      </c>
      <c r="D645">
        <v>42.29</v>
      </c>
      <c r="E645">
        <v>-104.76334</v>
      </c>
      <c r="K645">
        <v>0</v>
      </c>
      <c r="O645" t="s">
        <v>30</v>
      </c>
      <c r="Q645" t="s">
        <v>21</v>
      </c>
    </row>
    <row r="646" spans="1:17" x14ac:dyDescent="0.25">
      <c r="A646" t="s">
        <v>648</v>
      </c>
      <c r="B646" t="s">
        <v>649</v>
      </c>
      <c r="C646" t="s">
        <v>37</v>
      </c>
      <c r="D646">
        <v>42.288609999999998</v>
      </c>
      <c r="E646">
        <v>-104.7625</v>
      </c>
      <c r="K646">
        <v>0</v>
      </c>
      <c r="O646" t="s">
        <v>30</v>
      </c>
      <c r="P646" t="s">
        <v>54</v>
      </c>
      <c r="Q646" t="s">
        <v>21</v>
      </c>
    </row>
    <row r="647" spans="1:17" x14ac:dyDescent="0.25">
      <c r="A647" t="s">
        <v>582</v>
      </c>
      <c r="B647" t="s">
        <v>583</v>
      </c>
      <c r="C647" t="s">
        <v>26</v>
      </c>
      <c r="D647">
        <v>40.066670000000002</v>
      </c>
      <c r="E647">
        <v>-98.383330000000001</v>
      </c>
      <c r="K647">
        <v>0</v>
      </c>
      <c r="O647" t="s">
        <v>20</v>
      </c>
      <c r="Q647" t="s">
        <v>21</v>
      </c>
    </row>
    <row r="648" spans="1:17" x14ac:dyDescent="0.25">
      <c r="A648" t="s">
        <v>2675</v>
      </c>
      <c r="B648" t="s">
        <v>2676</v>
      </c>
      <c r="C648" t="s">
        <v>19</v>
      </c>
      <c r="D648">
        <v>38.753100000000003</v>
      </c>
      <c r="E648">
        <v>-108.0778</v>
      </c>
      <c r="F648">
        <v>4910</v>
      </c>
      <c r="G648" t="s">
        <v>1576</v>
      </c>
      <c r="K648">
        <v>0</v>
      </c>
      <c r="O648" t="s">
        <v>51</v>
      </c>
      <c r="Q648" t="s">
        <v>2284</v>
      </c>
    </row>
    <row r="649" spans="1:17" x14ac:dyDescent="0.25">
      <c r="A649" t="s">
        <v>2677</v>
      </c>
      <c r="B649" t="s">
        <v>2678</v>
      </c>
      <c r="C649" t="s">
        <v>19</v>
      </c>
      <c r="D649">
        <v>38.058599999999998</v>
      </c>
      <c r="E649">
        <v>-107.06059999999999</v>
      </c>
      <c r="G649" t="s">
        <v>1576</v>
      </c>
      <c r="K649">
        <v>0</v>
      </c>
      <c r="O649" t="s">
        <v>51</v>
      </c>
      <c r="Q649" t="s">
        <v>2284</v>
      </c>
    </row>
    <row r="650" spans="1:17" x14ac:dyDescent="0.25">
      <c r="A650" t="s">
        <v>2679</v>
      </c>
      <c r="B650" t="s">
        <v>2680</v>
      </c>
      <c r="C650" t="s">
        <v>19</v>
      </c>
      <c r="D650">
        <v>39.0381</v>
      </c>
      <c r="E650">
        <v>-108.5703</v>
      </c>
      <c r="G650" t="s">
        <v>1576</v>
      </c>
      <c r="K650">
        <v>0</v>
      </c>
      <c r="O650" t="s">
        <v>51</v>
      </c>
      <c r="Q650" t="s">
        <v>2284</v>
      </c>
    </row>
    <row r="651" spans="1:17" x14ac:dyDescent="0.25">
      <c r="A651" t="s">
        <v>2681</v>
      </c>
      <c r="B651" t="s">
        <v>2682</v>
      </c>
      <c r="C651" t="s">
        <v>19</v>
      </c>
      <c r="D651">
        <v>38.9833</v>
      </c>
      <c r="E651">
        <v>-108.45</v>
      </c>
      <c r="F651">
        <v>4628.12</v>
      </c>
      <c r="G651" t="s">
        <v>1576</v>
      </c>
      <c r="K651">
        <v>0</v>
      </c>
      <c r="O651" t="s">
        <v>51</v>
      </c>
      <c r="Q651" t="s">
        <v>2284</v>
      </c>
    </row>
    <row r="652" spans="1:17" x14ac:dyDescent="0.25">
      <c r="A652" t="s">
        <v>2683</v>
      </c>
      <c r="B652" t="s">
        <v>2684</v>
      </c>
      <c r="C652" t="s">
        <v>19</v>
      </c>
      <c r="D652">
        <v>38.541899999999998</v>
      </c>
      <c r="E652">
        <v>-106.9492</v>
      </c>
      <c r="F652">
        <v>7655</v>
      </c>
      <c r="G652" t="s">
        <v>1576</v>
      </c>
      <c r="K652">
        <v>0</v>
      </c>
      <c r="O652" t="s">
        <v>51</v>
      </c>
      <c r="Q652" t="s">
        <v>2284</v>
      </c>
    </row>
    <row r="653" spans="1:17" x14ac:dyDescent="0.25">
      <c r="A653" t="s">
        <v>2685</v>
      </c>
      <c r="B653" t="s">
        <v>2686</v>
      </c>
      <c r="C653" t="s">
        <v>19</v>
      </c>
      <c r="D653">
        <v>38.484999999999999</v>
      </c>
      <c r="E653">
        <v>-107.7492</v>
      </c>
      <c r="F653">
        <v>6440</v>
      </c>
      <c r="G653" t="s">
        <v>1576</v>
      </c>
      <c r="K653">
        <v>0</v>
      </c>
      <c r="O653" t="s">
        <v>34</v>
      </c>
      <c r="Q653" t="s">
        <v>2284</v>
      </c>
    </row>
    <row r="654" spans="1:17" x14ac:dyDescent="0.25">
      <c r="A654" t="s">
        <v>2687</v>
      </c>
      <c r="B654" t="s">
        <v>2688</v>
      </c>
      <c r="C654" t="s">
        <v>19</v>
      </c>
      <c r="D654">
        <v>38.483600000000003</v>
      </c>
      <c r="E654">
        <v>-107.7556</v>
      </c>
      <c r="F654">
        <v>6430</v>
      </c>
      <c r="G654" t="s">
        <v>1576</v>
      </c>
      <c r="K654">
        <v>0</v>
      </c>
      <c r="O654" t="s">
        <v>34</v>
      </c>
      <c r="Q654" t="s">
        <v>2284</v>
      </c>
    </row>
    <row r="655" spans="1:17" x14ac:dyDescent="0.25">
      <c r="A655" t="s">
        <v>2689</v>
      </c>
      <c r="B655" t="s">
        <v>2690</v>
      </c>
      <c r="C655" t="s">
        <v>37</v>
      </c>
      <c r="D655">
        <v>43.383299999999998</v>
      </c>
      <c r="E655">
        <v>-109.86669999999999</v>
      </c>
      <c r="F655">
        <v>9820</v>
      </c>
      <c r="G655" t="s">
        <v>1576</v>
      </c>
      <c r="K655">
        <v>0</v>
      </c>
      <c r="O655" t="s">
        <v>57</v>
      </c>
      <c r="Q655" t="s">
        <v>2284</v>
      </c>
    </row>
    <row r="656" spans="1:17" x14ac:dyDescent="0.25">
      <c r="A656" t="s">
        <v>672</v>
      </c>
      <c r="B656" t="s">
        <v>673</v>
      </c>
      <c r="C656" t="s">
        <v>19</v>
      </c>
      <c r="D656">
        <v>39.620829999999998</v>
      </c>
      <c r="E656">
        <v>-102.16943999999999</v>
      </c>
      <c r="K656">
        <v>0</v>
      </c>
      <c r="O656" t="s">
        <v>34</v>
      </c>
      <c r="Q656" t="s">
        <v>21</v>
      </c>
    </row>
    <row r="657" spans="1:17" x14ac:dyDescent="0.25">
      <c r="A657" t="s">
        <v>652</v>
      </c>
      <c r="B657" t="s">
        <v>653</v>
      </c>
      <c r="C657" t="s">
        <v>19</v>
      </c>
      <c r="D657">
        <v>39.186109999999999</v>
      </c>
      <c r="E657">
        <v>-106.38333</v>
      </c>
      <c r="K657">
        <v>0</v>
      </c>
      <c r="O657" t="s">
        <v>20</v>
      </c>
      <c r="Q657" t="s">
        <v>21</v>
      </c>
    </row>
    <row r="658" spans="1:17" x14ac:dyDescent="0.25">
      <c r="A658" t="s">
        <v>699</v>
      </c>
      <c r="B658" t="s">
        <v>700</v>
      </c>
      <c r="C658" t="s">
        <v>19</v>
      </c>
      <c r="D658">
        <v>39.172220000000003</v>
      </c>
      <c r="E658">
        <v>-106.38861</v>
      </c>
      <c r="K658">
        <v>0</v>
      </c>
      <c r="O658" t="s">
        <v>51</v>
      </c>
      <c r="Q658" t="s">
        <v>21</v>
      </c>
    </row>
    <row r="659" spans="1:17" x14ac:dyDescent="0.25">
      <c r="A659" t="s">
        <v>2691</v>
      </c>
      <c r="B659" t="s">
        <v>2692</v>
      </c>
      <c r="C659" t="s">
        <v>37</v>
      </c>
      <c r="D659">
        <v>42.15</v>
      </c>
      <c r="E659">
        <v>-110.6833</v>
      </c>
      <c r="F659">
        <v>7840</v>
      </c>
      <c r="G659" t="s">
        <v>1576</v>
      </c>
      <c r="K659">
        <v>0</v>
      </c>
      <c r="O659" t="s">
        <v>57</v>
      </c>
      <c r="Q659" t="s">
        <v>2284</v>
      </c>
    </row>
    <row r="660" spans="1:17" x14ac:dyDescent="0.25">
      <c r="A660" t="s">
        <v>687</v>
      </c>
      <c r="B660" t="s">
        <v>688</v>
      </c>
      <c r="C660" t="s">
        <v>19</v>
      </c>
      <c r="D660">
        <v>40.422220000000003</v>
      </c>
      <c r="E660">
        <v>-105.22583</v>
      </c>
      <c r="K660">
        <v>0</v>
      </c>
      <c r="O660" t="s">
        <v>34</v>
      </c>
      <c r="Q660" t="s">
        <v>21</v>
      </c>
    </row>
    <row r="661" spans="1:17" x14ac:dyDescent="0.25">
      <c r="A661" t="s">
        <v>705</v>
      </c>
      <c r="B661" t="s">
        <v>706</v>
      </c>
      <c r="C661" t="s">
        <v>37</v>
      </c>
      <c r="D661">
        <v>44.25</v>
      </c>
      <c r="E661">
        <v>-106.98333</v>
      </c>
      <c r="F661">
        <v>8360</v>
      </c>
      <c r="K661">
        <v>0</v>
      </c>
      <c r="O661" t="s">
        <v>57</v>
      </c>
      <c r="Q661" t="s">
        <v>21</v>
      </c>
    </row>
    <row r="662" spans="1:17" x14ac:dyDescent="0.25">
      <c r="A662" t="s">
        <v>2693</v>
      </c>
      <c r="B662" t="s">
        <v>2694</v>
      </c>
      <c r="C662" t="s">
        <v>1622</v>
      </c>
      <c r="D662">
        <v>40.868000000000002</v>
      </c>
      <c r="E662">
        <v>-111.71939999999999</v>
      </c>
      <c r="F662">
        <v>7250</v>
      </c>
      <c r="G662" t="s">
        <v>1576</v>
      </c>
      <c r="K662">
        <v>0</v>
      </c>
      <c r="O662" t="s">
        <v>57</v>
      </c>
      <c r="Q662" t="s">
        <v>2284</v>
      </c>
    </row>
    <row r="663" spans="1:17" x14ac:dyDescent="0.25">
      <c r="A663" t="s">
        <v>668</v>
      </c>
      <c r="B663" t="s">
        <v>669</v>
      </c>
      <c r="C663" t="s">
        <v>26</v>
      </c>
      <c r="D663">
        <v>40.06944</v>
      </c>
      <c r="E663">
        <v>-99.208330000000004</v>
      </c>
      <c r="K663">
        <v>0</v>
      </c>
      <c r="O663" t="s">
        <v>30</v>
      </c>
      <c r="P663" t="s">
        <v>107</v>
      </c>
      <c r="Q663" t="s">
        <v>21</v>
      </c>
    </row>
    <row r="664" spans="1:17" x14ac:dyDescent="0.25">
      <c r="A664" t="s">
        <v>717</v>
      </c>
      <c r="B664" t="s">
        <v>718</v>
      </c>
      <c r="C664" t="s">
        <v>41</v>
      </c>
      <c r="D664">
        <v>48.543329999999997</v>
      </c>
      <c r="E664">
        <v>-108.83472</v>
      </c>
      <c r="F664">
        <v>2358</v>
      </c>
      <c r="K664">
        <v>0</v>
      </c>
      <c r="O664" t="s">
        <v>151</v>
      </c>
      <c r="Q664" t="s">
        <v>21</v>
      </c>
    </row>
    <row r="665" spans="1:17" x14ac:dyDescent="0.25">
      <c r="A665" t="s">
        <v>656</v>
      </c>
      <c r="B665" t="s">
        <v>657</v>
      </c>
      <c r="C665" t="s">
        <v>41</v>
      </c>
      <c r="D665">
        <v>48.571669999999997</v>
      </c>
      <c r="E665">
        <v>-108.9986</v>
      </c>
      <c r="K665">
        <v>0</v>
      </c>
      <c r="O665" t="s">
        <v>34</v>
      </c>
      <c r="Q665" t="s">
        <v>21</v>
      </c>
    </row>
    <row r="666" spans="1:17" x14ac:dyDescent="0.25">
      <c r="A666" t="s">
        <v>719</v>
      </c>
      <c r="B666" t="s">
        <v>720</v>
      </c>
      <c r="C666" t="s">
        <v>41</v>
      </c>
      <c r="D666">
        <v>48.489440000000002</v>
      </c>
      <c r="E666">
        <v>-108.77167</v>
      </c>
      <c r="K666">
        <v>0</v>
      </c>
      <c r="O666" t="s">
        <v>34</v>
      </c>
      <c r="Q666" t="s">
        <v>21</v>
      </c>
    </row>
    <row r="667" spans="1:17" x14ac:dyDescent="0.25">
      <c r="A667" t="s">
        <v>1746</v>
      </c>
      <c r="B667" t="s">
        <v>1747</v>
      </c>
      <c r="C667" t="s">
        <v>1628</v>
      </c>
      <c r="D667">
        <v>46.384720000000002</v>
      </c>
      <c r="E667">
        <v>-120.57444</v>
      </c>
      <c r="F667">
        <v>259.08</v>
      </c>
      <c r="G667" t="s">
        <v>1589</v>
      </c>
      <c r="H667" s="1">
        <v>31898</v>
      </c>
      <c r="J667" t="s">
        <v>1577</v>
      </c>
      <c r="K667">
        <v>0</v>
      </c>
      <c r="L667" t="s">
        <v>1578</v>
      </c>
      <c r="O667" t="s">
        <v>151</v>
      </c>
      <c r="P667" t="s">
        <v>1585</v>
      </c>
      <c r="Q667" t="s">
        <v>1580</v>
      </c>
    </row>
    <row r="668" spans="1:17" x14ac:dyDescent="0.25">
      <c r="A668" t="s">
        <v>2695</v>
      </c>
      <c r="B668" t="s">
        <v>2696</v>
      </c>
      <c r="C668" t="s">
        <v>1622</v>
      </c>
      <c r="D668">
        <v>37.4833</v>
      </c>
      <c r="E668">
        <v>-112.58329999999999</v>
      </c>
      <c r="F668">
        <v>7800</v>
      </c>
      <c r="G668" t="s">
        <v>1576</v>
      </c>
      <c r="K668">
        <v>0</v>
      </c>
      <c r="O668" t="s">
        <v>57</v>
      </c>
      <c r="Q668" t="s">
        <v>2284</v>
      </c>
    </row>
    <row r="669" spans="1:17" x14ac:dyDescent="0.25">
      <c r="A669" t="s">
        <v>721</v>
      </c>
      <c r="B669" t="s">
        <v>722</v>
      </c>
      <c r="C669" t="s">
        <v>26</v>
      </c>
      <c r="D669">
        <v>40.378889999999998</v>
      </c>
      <c r="E669">
        <v>-100.21778</v>
      </c>
      <c r="K669">
        <v>0</v>
      </c>
      <c r="O669" t="s">
        <v>30</v>
      </c>
      <c r="P669" t="s">
        <v>107</v>
      </c>
      <c r="Q669" t="s">
        <v>21</v>
      </c>
    </row>
    <row r="670" spans="1:17" x14ac:dyDescent="0.25">
      <c r="A670" t="s">
        <v>2697</v>
      </c>
      <c r="B670" t="s">
        <v>2698</v>
      </c>
      <c r="C670" t="s">
        <v>19</v>
      </c>
      <c r="D670">
        <v>37.323900000000002</v>
      </c>
      <c r="E670">
        <v>-108.6144</v>
      </c>
      <c r="F670">
        <v>5900</v>
      </c>
      <c r="G670" t="s">
        <v>1576</v>
      </c>
      <c r="K670">
        <v>0</v>
      </c>
      <c r="O670" t="s">
        <v>51</v>
      </c>
      <c r="Q670" t="s">
        <v>2284</v>
      </c>
    </row>
    <row r="671" spans="1:17" x14ac:dyDescent="0.25">
      <c r="A671" t="s">
        <v>2125</v>
      </c>
      <c r="B671" t="s">
        <v>2126</v>
      </c>
      <c r="C671" t="s">
        <v>1987</v>
      </c>
      <c r="D671">
        <v>34.5</v>
      </c>
      <c r="E671">
        <v>-114.58</v>
      </c>
      <c r="G671" t="s">
        <v>1576</v>
      </c>
      <c r="K671">
        <v>0</v>
      </c>
      <c r="O671" t="s">
        <v>20</v>
      </c>
      <c r="Q671" t="s">
        <v>1988</v>
      </c>
    </row>
    <row r="672" spans="1:17" x14ac:dyDescent="0.25">
      <c r="A672" t="s">
        <v>2699</v>
      </c>
      <c r="B672" t="s">
        <v>2700</v>
      </c>
      <c r="C672" t="s">
        <v>1622</v>
      </c>
      <c r="D672">
        <v>40.799999999999997</v>
      </c>
      <c r="E672">
        <v>-110.88330000000001</v>
      </c>
      <c r="F672">
        <v>9100</v>
      </c>
      <c r="G672" t="s">
        <v>1576</v>
      </c>
      <c r="K672">
        <v>0</v>
      </c>
      <c r="O672" t="s">
        <v>57</v>
      </c>
      <c r="Q672" t="s">
        <v>2284</v>
      </c>
    </row>
    <row r="673" spans="1:17" x14ac:dyDescent="0.25">
      <c r="A673" t="s">
        <v>2129</v>
      </c>
      <c r="B673" t="s">
        <v>2130</v>
      </c>
      <c r="C673" t="s">
        <v>1987</v>
      </c>
      <c r="D673">
        <v>34.168100000000003</v>
      </c>
      <c r="E673">
        <v>-114.2764</v>
      </c>
      <c r="F673">
        <v>364.4</v>
      </c>
      <c r="G673" t="s">
        <v>1576</v>
      </c>
      <c r="K673">
        <v>0</v>
      </c>
      <c r="O673" t="s">
        <v>34</v>
      </c>
      <c r="Q673" t="s">
        <v>1988</v>
      </c>
    </row>
    <row r="674" spans="1:17" x14ac:dyDescent="0.25">
      <c r="A674" t="s">
        <v>678</v>
      </c>
      <c r="B674" t="s">
        <v>679</v>
      </c>
      <c r="C674" t="s">
        <v>41</v>
      </c>
      <c r="D674">
        <v>44.864170000000001</v>
      </c>
      <c r="E674">
        <v>-111.33584</v>
      </c>
      <c r="K674">
        <v>0</v>
      </c>
      <c r="O674" t="s">
        <v>30</v>
      </c>
      <c r="P674" t="s">
        <v>324</v>
      </c>
      <c r="Q674" t="s">
        <v>21</v>
      </c>
    </row>
    <row r="675" spans="1:17" x14ac:dyDescent="0.25">
      <c r="A675" t="s">
        <v>729</v>
      </c>
      <c r="B675" t="s">
        <v>730</v>
      </c>
      <c r="C675" t="s">
        <v>41</v>
      </c>
      <c r="D675">
        <v>46.638060000000003</v>
      </c>
      <c r="E675">
        <v>-111.88223000000001</v>
      </c>
      <c r="K675">
        <v>0</v>
      </c>
      <c r="O675" t="s">
        <v>30</v>
      </c>
      <c r="P675" t="s">
        <v>324</v>
      </c>
      <c r="Q675" t="s">
        <v>21</v>
      </c>
    </row>
    <row r="676" spans="1:17" x14ac:dyDescent="0.25">
      <c r="A676" t="s">
        <v>727</v>
      </c>
      <c r="B676" t="s">
        <v>728</v>
      </c>
      <c r="C676" t="s">
        <v>41</v>
      </c>
      <c r="D676">
        <v>46.679169999999999</v>
      </c>
      <c r="E676">
        <v>-111.98333</v>
      </c>
      <c r="F676">
        <v>3673</v>
      </c>
      <c r="K676">
        <v>0</v>
      </c>
      <c r="O676" t="s">
        <v>151</v>
      </c>
      <c r="Q676" t="s">
        <v>21</v>
      </c>
    </row>
    <row r="677" spans="1:17" x14ac:dyDescent="0.25">
      <c r="A677" t="s">
        <v>1762</v>
      </c>
      <c r="B677" t="s">
        <v>1763</v>
      </c>
      <c r="C677" t="s">
        <v>410</v>
      </c>
      <c r="D677">
        <v>44.41639</v>
      </c>
      <c r="E677">
        <v>-111.39472000000001</v>
      </c>
      <c r="F677">
        <v>6225</v>
      </c>
      <c r="G677" t="s">
        <v>1576</v>
      </c>
      <c r="H677" s="2">
        <v>0</v>
      </c>
      <c r="I677">
        <v>13042500</v>
      </c>
      <c r="J677" t="s">
        <v>1594</v>
      </c>
      <c r="K677">
        <v>0</v>
      </c>
      <c r="L677" t="s">
        <v>1595</v>
      </c>
      <c r="O677" t="s">
        <v>51</v>
      </c>
      <c r="P677" t="s">
        <v>1596</v>
      </c>
      <c r="Q677" t="s">
        <v>1580</v>
      </c>
    </row>
    <row r="678" spans="1:17" x14ac:dyDescent="0.25">
      <c r="A678" t="s">
        <v>1736</v>
      </c>
      <c r="B678" t="s">
        <v>1737</v>
      </c>
      <c r="C678" t="s">
        <v>410</v>
      </c>
      <c r="D678">
        <v>44.595212789999998</v>
      </c>
      <c r="E678">
        <v>-111.3495995</v>
      </c>
      <c r="F678">
        <v>6451</v>
      </c>
      <c r="G678" t="s">
        <v>1576</v>
      </c>
      <c r="H678" s="2">
        <v>0</v>
      </c>
      <c r="I678">
        <v>13039500</v>
      </c>
      <c r="J678" t="s">
        <v>1594</v>
      </c>
      <c r="K678">
        <v>0</v>
      </c>
      <c r="L678" t="s">
        <v>1595</v>
      </c>
      <c r="O678" t="s">
        <v>51</v>
      </c>
      <c r="P678" t="s">
        <v>1596</v>
      </c>
      <c r="Q678" t="s">
        <v>1580</v>
      </c>
    </row>
    <row r="679" spans="1:17" x14ac:dyDescent="0.25">
      <c r="A679" t="s">
        <v>1892</v>
      </c>
      <c r="B679" t="s">
        <v>1893</v>
      </c>
      <c r="C679" t="s">
        <v>410</v>
      </c>
      <c r="D679">
        <v>43.82587015</v>
      </c>
      <c r="E679">
        <v>-111.90503080000001</v>
      </c>
      <c r="F679">
        <v>4806</v>
      </c>
      <c r="G679" t="s">
        <v>1576</v>
      </c>
      <c r="H679" s="2">
        <v>0</v>
      </c>
      <c r="I679">
        <v>13056500</v>
      </c>
      <c r="J679" t="s">
        <v>1594</v>
      </c>
      <c r="K679">
        <v>0</v>
      </c>
      <c r="L679" t="s">
        <v>1595</v>
      </c>
      <c r="O679" t="s">
        <v>51</v>
      </c>
      <c r="P679" t="s">
        <v>1596</v>
      </c>
      <c r="Q679" t="s">
        <v>1580</v>
      </c>
    </row>
    <row r="680" spans="1:17" x14ac:dyDescent="0.25">
      <c r="A680" t="s">
        <v>1734</v>
      </c>
      <c r="B680" t="s">
        <v>1735</v>
      </c>
      <c r="C680" t="s">
        <v>410</v>
      </c>
      <c r="D680">
        <v>44.597222000000002</v>
      </c>
      <c r="E680">
        <v>-111.353611</v>
      </c>
      <c r="F680">
        <v>6457</v>
      </c>
      <c r="G680" t="s">
        <v>1576</v>
      </c>
      <c r="H680" s="2">
        <v>0</v>
      </c>
      <c r="J680" t="s">
        <v>1594</v>
      </c>
      <c r="K680">
        <v>0</v>
      </c>
      <c r="L680" t="s">
        <v>1599</v>
      </c>
      <c r="O680" t="s">
        <v>30</v>
      </c>
      <c r="P680" t="s">
        <v>1585</v>
      </c>
      <c r="Q680" t="s">
        <v>1580</v>
      </c>
    </row>
    <row r="681" spans="1:17" x14ac:dyDescent="0.25">
      <c r="A681" t="s">
        <v>1744</v>
      </c>
      <c r="B681" t="s">
        <v>1745</v>
      </c>
      <c r="C681" t="s">
        <v>1588</v>
      </c>
      <c r="D681">
        <v>44.488050000000001</v>
      </c>
      <c r="E681">
        <v>-118.02</v>
      </c>
      <c r="F681">
        <v>1097.28</v>
      </c>
      <c r="G681" t="s">
        <v>1589</v>
      </c>
      <c r="H681" s="1">
        <v>35913</v>
      </c>
      <c r="J681" t="s">
        <v>1577</v>
      </c>
      <c r="K681">
        <v>0</v>
      </c>
      <c r="L681" t="s">
        <v>1578</v>
      </c>
      <c r="O681" t="s">
        <v>151</v>
      </c>
      <c r="P681" t="s">
        <v>1585</v>
      </c>
      <c r="Q681" t="s">
        <v>1580</v>
      </c>
    </row>
    <row r="682" spans="1:17" x14ac:dyDescent="0.25">
      <c r="A682" t="s">
        <v>1748</v>
      </c>
      <c r="B682" t="s">
        <v>1749</v>
      </c>
      <c r="C682" t="s">
        <v>1588</v>
      </c>
      <c r="D682">
        <v>45.81944</v>
      </c>
      <c r="E682">
        <v>-119.28333000000001</v>
      </c>
      <c r="F682">
        <v>185.01</v>
      </c>
      <c r="G682" t="s">
        <v>1589</v>
      </c>
      <c r="H682" s="1">
        <v>34165</v>
      </c>
      <c r="J682" t="s">
        <v>1577</v>
      </c>
      <c r="K682">
        <v>0</v>
      </c>
      <c r="L682" t="s">
        <v>1578</v>
      </c>
      <c r="O682" t="s">
        <v>151</v>
      </c>
      <c r="P682" t="s">
        <v>1585</v>
      </c>
      <c r="Q682" t="s">
        <v>1580</v>
      </c>
    </row>
    <row r="683" spans="1:17" x14ac:dyDescent="0.25">
      <c r="A683" t="s">
        <v>1738</v>
      </c>
      <c r="B683" t="s">
        <v>1739</v>
      </c>
      <c r="C683" t="s">
        <v>1588</v>
      </c>
      <c r="D683">
        <v>45.821109999999997</v>
      </c>
      <c r="E683">
        <v>-119.52137999999999</v>
      </c>
      <c r="F683">
        <v>167.64</v>
      </c>
      <c r="G683" t="s">
        <v>1589</v>
      </c>
      <c r="H683" s="1">
        <v>30437</v>
      </c>
      <c r="J683" t="s">
        <v>1577</v>
      </c>
      <c r="K683">
        <v>0</v>
      </c>
      <c r="L683" t="s">
        <v>1578</v>
      </c>
      <c r="O683" t="s">
        <v>151</v>
      </c>
      <c r="P683" t="s">
        <v>1585</v>
      </c>
      <c r="Q683" t="s">
        <v>1580</v>
      </c>
    </row>
    <row r="684" spans="1:17" x14ac:dyDescent="0.25">
      <c r="A684" t="s">
        <v>2701</v>
      </c>
      <c r="B684" t="s">
        <v>2702</v>
      </c>
      <c r="C684" t="s">
        <v>19</v>
      </c>
      <c r="D684">
        <v>37.421900000000001</v>
      </c>
      <c r="E684">
        <v>-107.84439999999999</v>
      </c>
      <c r="F684">
        <v>6705.88</v>
      </c>
      <c r="G684" t="s">
        <v>1576</v>
      </c>
      <c r="K684">
        <v>0</v>
      </c>
      <c r="O684" t="s">
        <v>51</v>
      </c>
      <c r="Q684" t="s">
        <v>2284</v>
      </c>
    </row>
    <row r="685" spans="1:17" x14ac:dyDescent="0.25">
      <c r="A685" t="s">
        <v>2703</v>
      </c>
      <c r="B685" t="s">
        <v>2704</v>
      </c>
      <c r="C685" t="s">
        <v>2283</v>
      </c>
      <c r="D685">
        <v>36.665599999999998</v>
      </c>
      <c r="E685">
        <v>-106.70359999999999</v>
      </c>
      <c r="F685">
        <v>7186</v>
      </c>
      <c r="G685" t="s">
        <v>1576</v>
      </c>
      <c r="K685">
        <v>0</v>
      </c>
      <c r="O685" t="s">
        <v>30</v>
      </c>
      <c r="Q685" t="s">
        <v>2284</v>
      </c>
    </row>
    <row r="686" spans="1:17" x14ac:dyDescent="0.25">
      <c r="A686" t="s">
        <v>2705</v>
      </c>
      <c r="B686" t="s">
        <v>2706</v>
      </c>
      <c r="C686" t="s">
        <v>1622</v>
      </c>
      <c r="D686">
        <v>40.950000000000003</v>
      </c>
      <c r="E686">
        <v>-110.4833</v>
      </c>
      <c r="F686">
        <v>9500</v>
      </c>
      <c r="G686" t="s">
        <v>1576</v>
      </c>
      <c r="K686">
        <v>0</v>
      </c>
      <c r="O686" t="s">
        <v>57</v>
      </c>
      <c r="Q686" t="s">
        <v>2284</v>
      </c>
    </row>
    <row r="687" spans="1:17" x14ac:dyDescent="0.25">
      <c r="A687" t="s">
        <v>2707</v>
      </c>
      <c r="B687" t="s">
        <v>2708</v>
      </c>
      <c r="C687" t="s">
        <v>1622</v>
      </c>
      <c r="D687">
        <v>40.9</v>
      </c>
      <c r="E687">
        <v>-109.9667</v>
      </c>
      <c r="F687">
        <v>9100</v>
      </c>
      <c r="G687" t="s">
        <v>1576</v>
      </c>
      <c r="K687">
        <v>0</v>
      </c>
      <c r="O687" t="s">
        <v>57</v>
      </c>
      <c r="Q687" t="s">
        <v>2284</v>
      </c>
    </row>
    <row r="688" spans="1:17" x14ac:dyDescent="0.25">
      <c r="A688" t="s">
        <v>733</v>
      </c>
      <c r="B688" t="s">
        <v>734</v>
      </c>
      <c r="C688" t="s">
        <v>37</v>
      </c>
      <c r="D688">
        <v>43.930840000000003</v>
      </c>
      <c r="E688">
        <v>-107.96944000000001</v>
      </c>
      <c r="K688">
        <v>0</v>
      </c>
      <c r="O688" t="s">
        <v>34</v>
      </c>
      <c r="Q688" t="s">
        <v>21</v>
      </c>
    </row>
    <row r="689" spans="1:17" x14ac:dyDescent="0.25">
      <c r="A689" t="s">
        <v>697</v>
      </c>
      <c r="B689" t="s">
        <v>698</v>
      </c>
      <c r="C689" t="s">
        <v>37</v>
      </c>
      <c r="D689">
        <v>43.932780000000001</v>
      </c>
      <c r="E689">
        <v>-107.96472</v>
      </c>
      <c r="K689">
        <v>0</v>
      </c>
      <c r="O689" t="s">
        <v>34</v>
      </c>
      <c r="Q689" t="s">
        <v>21</v>
      </c>
    </row>
    <row r="690" spans="1:17" x14ac:dyDescent="0.25">
      <c r="A690" t="s">
        <v>703</v>
      </c>
      <c r="B690" t="s">
        <v>704</v>
      </c>
      <c r="C690" t="s">
        <v>37</v>
      </c>
      <c r="D690">
        <v>43.933059999999998</v>
      </c>
      <c r="E690">
        <v>-107.96388</v>
      </c>
      <c r="K690">
        <v>0</v>
      </c>
      <c r="O690" t="s">
        <v>34</v>
      </c>
      <c r="Q690" t="s">
        <v>21</v>
      </c>
    </row>
    <row r="691" spans="1:17" x14ac:dyDescent="0.25">
      <c r="A691" t="s">
        <v>731</v>
      </c>
      <c r="B691" t="s">
        <v>732</v>
      </c>
      <c r="C691" t="s">
        <v>37</v>
      </c>
      <c r="D691">
        <v>43.923609999999996</v>
      </c>
      <c r="E691">
        <v>-108.00389</v>
      </c>
      <c r="K691">
        <v>0</v>
      </c>
      <c r="O691" t="s">
        <v>34</v>
      </c>
      <c r="Q691" t="s">
        <v>21</v>
      </c>
    </row>
    <row r="692" spans="1:17" x14ac:dyDescent="0.25">
      <c r="A692" t="s">
        <v>654</v>
      </c>
      <c r="B692" t="s">
        <v>655</v>
      </c>
      <c r="C692" t="s">
        <v>26</v>
      </c>
      <c r="D692">
        <v>41.939450000000001</v>
      </c>
      <c r="E692">
        <v>-103.48083</v>
      </c>
      <c r="K692">
        <v>0</v>
      </c>
      <c r="O692" t="s">
        <v>34</v>
      </c>
      <c r="Q692" t="s">
        <v>21</v>
      </c>
    </row>
    <row r="693" spans="1:17" x14ac:dyDescent="0.25">
      <c r="A693" t="s">
        <v>701</v>
      </c>
      <c r="B693" t="s">
        <v>702</v>
      </c>
      <c r="C693" t="s">
        <v>26</v>
      </c>
      <c r="D693">
        <v>41.940829999999998</v>
      </c>
      <c r="E693">
        <v>-103.39361</v>
      </c>
      <c r="K693">
        <v>0</v>
      </c>
      <c r="O693" t="s">
        <v>34</v>
      </c>
      <c r="Q693" t="s">
        <v>21</v>
      </c>
    </row>
    <row r="694" spans="1:17" x14ac:dyDescent="0.25">
      <c r="A694" t="s">
        <v>676</v>
      </c>
      <c r="B694" t="s">
        <v>677</v>
      </c>
      <c r="C694" t="s">
        <v>26</v>
      </c>
      <c r="D694">
        <v>41.99944</v>
      </c>
      <c r="E694">
        <v>-103.63194</v>
      </c>
      <c r="K694">
        <v>0</v>
      </c>
      <c r="O694" t="s">
        <v>34</v>
      </c>
      <c r="Q694" t="s">
        <v>21</v>
      </c>
    </row>
    <row r="695" spans="1:17" x14ac:dyDescent="0.25">
      <c r="A695" t="s">
        <v>662</v>
      </c>
      <c r="B695" t="s">
        <v>663</v>
      </c>
      <c r="C695" t="s">
        <v>41</v>
      </c>
      <c r="D695">
        <v>45.736669999999997</v>
      </c>
      <c r="E695">
        <v>-107.57472</v>
      </c>
      <c r="K695">
        <v>0</v>
      </c>
      <c r="O695" t="s">
        <v>51</v>
      </c>
      <c r="Q695" t="s">
        <v>21</v>
      </c>
    </row>
    <row r="696" spans="1:17" x14ac:dyDescent="0.25">
      <c r="A696" t="s">
        <v>660</v>
      </c>
      <c r="B696" t="s">
        <v>661</v>
      </c>
      <c r="C696" t="s">
        <v>37</v>
      </c>
      <c r="D696">
        <v>42.866660000000003</v>
      </c>
      <c r="E696">
        <v>-109.1</v>
      </c>
      <c r="F696">
        <v>10100</v>
      </c>
      <c r="K696">
        <v>0</v>
      </c>
      <c r="O696" t="s">
        <v>57</v>
      </c>
      <c r="Q696" t="s">
        <v>21</v>
      </c>
    </row>
    <row r="697" spans="1:17" x14ac:dyDescent="0.25">
      <c r="A697" t="s">
        <v>2709</v>
      </c>
      <c r="B697" t="s">
        <v>2710</v>
      </c>
      <c r="C697" t="s">
        <v>2283</v>
      </c>
      <c r="D697">
        <v>36.744999999999997</v>
      </c>
      <c r="E697">
        <v>-108.5458</v>
      </c>
      <c r="F697">
        <v>4997</v>
      </c>
      <c r="G697" t="s">
        <v>1576</v>
      </c>
      <c r="K697">
        <v>0</v>
      </c>
      <c r="O697" t="s">
        <v>20</v>
      </c>
      <c r="Q697" t="s">
        <v>2284</v>
      </c>
    </row>
    <row r="698" spans="1:17" x14ac:dyDescent="0.25">
      <c r="A698" t="s">
        <v>2711</v>
      </c>
      <c r="B698" t="s">
        <v>2712</v>
      </c>
      <c r="C698" t="s">
        <v>1622</v>
      </c>
      <c r="D698">
        <v>40.916699999999999</v>
      </c>
      <c r="E698">
        <v>-110.2</v>
      </c>
      <c r="F698">
        <v>9150</v>
      </c>
      <c r="G698" t="s">
        <v>1576</v>
      </c>
      <c r="K698">
        <v>0</v>
      </c>
      <c r="O698" t="s">
        <v>57</v>
      </c>
      <c r="Q698" t="s">
        <v>2284</v>
      </c>
    </row>
    <row r="699" spans="1:17" x14ac:dyDescent="0.25">
      <c r="A699" t="s">
        <v>711</v>
      </c>
      <c r="B699" t="s">
        <v>712</v>
      </c>
      <c r="C699" t="s">
        <v>19</v>
      </c>
      <c r="D699">
        <v>39.36833</v>
      </c>
      <c r="E699">
        <v>-106.46249</v>
      </c>
      <c r="K699">
        <v>0</v>
      </c>
      <c r="O699" t="s">
        <v>30</v>
      </c>
      <c r="Q699" t="s">
        <v>21</v>
      </c>
    </row>
    <row r="700" spans="1:17" x14ac:dyDescent="0.25">
      <c r="A700" t="s">
        <v>713</v>
      </c>
      <c r="B700" t="s">
        <v>714</v>
      </c>
      <c r="C700" t="s">
        <v>19</v>
      </c>
      <c r="D700">
        <v>39.281109999999998</v>
      </c>
      <c r="E700">
        <v>-106.44110999999999</v>
      </c>
      <c r="K700">
        <v>0</v>
      </c>
      <c r="O700" t="s">
        <v>20</v>
      </c>
      <c r="Q700" t="s">
        <v>21</v>
      </c>
    </row>
    <row r="701" spans="1:17" x14ac:dyDescent="0.25">
      <c r="A701" t="s">
        <v>666</v>
      </c>
      <c r="B701" t="s">
        <v>667</v>
      </c>
      <c r="C701" t="s">
        <v>86</v>
      </c>
      <c r="D701">
        <v>29.376110000000001</v>
      </c>
      <c r="E701">
        <v>-99.116669999999999</v>
      </c>
      <c r="K701">
        <v>0</v>
      </c>
      <c r="O701" t="s">
        <v>51</v>
      </c>
      <c r="Q701" t="s">
        <v>21</v>
      </c>
    </row>
    <row r="702" spans="1:17" x14ac:dyDescent="0.25">
      <c r="A702" t="s">
        <v>670</v>
      </c>
      <c r="B702" t="s">
        <v>671</v>
      </c>
      <c r="C702" t="s">
        <v>86</v>
      </c>
      <c r="D702">
        <v>29.56944</v>
      </c>
      <c r="E702">
        <v>-99.246380000000002</v>
      </c>
      <c r="K702">
        <v>0</v>
      </c>
      <c r="O702" t="s">
        <v>51</v>
      </c>
      <c r="Q702" t="s">
        <v>21</v>
      </c>
    </row>
    <row r="703" spans="1:17" x14ac:dyDescent="0.25">
      <c r="A703" t="s">
        <v>1742</v>
      </c>
      <c r="B703" t="s">
        <v>1743</v>
      </c>
      <c r="C703" t="s">
        <v>1588</v>
      </c>
      <c r="D703">
        <v>45.684440000000002</v>
      </c>
      <c r="E703">
        <v>-121.51805</v>
      </c>
      <c r="F703">
        <v>155.44999999999999</v>
      </c>
      <c r="G703" t="s">
        <v>1589</v>
      </c>
      <c r="H703" s="1">
        <v>31898</v>
      </c>
      <c r="J703" t="s">
        <v>1577</v>
      </c>
      <c r="K703">
        <v>0</v>
      </c>
      <c r="L703" t="s">
        <v>1578</v>
      </c>
      <c r="O703" t="s">
        <v>151</v>
      </c>
      <c r="P703" t="s">
        <v>1585</v>
      </c>
      <c r="Q703" t="s">
        <v>1580</v>
      </c>
    </row>
    <row r="704" spans="1:17" x14ac:dyDescent="0.25">
      <c r="A704" t="s">
        <v>2713</v>
      </c>
      <c r="B704" t="s">
        <v>2714</v>
      </c>
      <c r="C704" t="s">
        <v>19</v>
      </c>
      <c r="D704">
        <v>39.366700000000002</v>
      </c>
      <c r="E704">
        <v>-106.0667</v>
      </c>
      <c r="F704">
        <v>11400</v>
      </c>
      <c r="G704" t="s">
        <v>1576</v>
      </c>
      <c r="K704">
        <v>0</v>
      </c>
      <c r="O704" t="s">
        <v>57</v>
      </c>
      <c r="Q704" t="s">
        <v>2284</v>
      </c>
    </row>
    <row r="705" spans="1:17" x14ac:dyDescent="0.25">
      <c r="A705" t="s">
        <v>715</v>
      </c>
      <c r="B705" t="s">
        <v>716</v>
      </c>
      <c r="C705" t="s">
        <v>19</v>
      </c>
      <c r="D705">
        <v>39.366660000000003</v>
      </c>
      <c r="E705">
        <v>-106.05</v>
      </c>
      <c r="F705">
        <v>11550</v>
      </c>
      <c r="K705">
        <v>0</v>
      </c>
      <c r="O705" t="s">
        <v>57</v>
      </c>
      <c r="Q705" t="s">
        <v>21</v>
      </c>
    </row>
    <row r="706" spans="1:17" x14ac:dyDescent="0.25">
      <c r="A706" t="s">
        <v>2715</v>
      </c>
      <c r="B706" t="s">
        <v>2716</v>
      </c>
      <c r="C706" t="s">
        <v>2283</v>
      </c>
      <c r="D706">
        <v>36.716700000000003</v>
      </c>
      <c r="E706">
        <v>-106.2667</v>
      </c>
      <c r="F706">
        <v>10000</v>
      </c>
      <c r="G706" t="s">
        <v>1576</v>
      </c>
      <c r="K706">
        <v>0</v>
      </c>
      <c r="O706" t="s">
        <v>57</v>
      </c>
      <c r="Q706" t="s">
        <v>2284</v>
      </c>
    </row>
    <row r="707" spans="1:17" x14ac:dyDescent="0.25">
      <c r="A707" t="s">
        <v>2717</v>
      </c>
      <c r="B707" t="s">
        <v>2718</v>
      </c>
      <c r="C707" t="s">
        <v>1622</v>
      </c>
      <c r="D707">
        <v>41.316699999999997</v>
      </c>
      <c r="E707">
        <v>-111.45</v>
      </c>
      <c r="F707">
        <v>8160</v>
      </c>
      <c r="G707" t="s">
        <v>1576</v>
      </c>
      <c r="K707">
        <v>0</v>
      </c>
      <c r="O707" t="s">
        <v>57</v>
      </c>
      <c r="Q707" t="s">
        <v>2284</v>
      </c>
    </row>
    <row r="708" spans="1:17" x14ac:dyDescent="0.25">
      <c r="A708" t="s">
        <v>723</v>
      </c>
      <c r="B708" t="s">
        <v>724</v>
      </c>
      <c r="C708" t="s">
        <v>19</v>
      </c>
      <c r="D708">
        <v>40.599440000000001</v>
      </c>
      <c r="E708">
        <v>-105.17111</v>
      </c>
      <c r="K708">
        <v>0</v>
      </c>
      <c r="O708" t="s">
        <v>30</v>
      </c>
      <c r="P708" t="s">
        <v>38</v>
      </c>
      <c r="Q708" t="s">
        <v>21</v>
      </c>
    </row>
    <row r="709" spans="1:17" x14ac:dyDescent="0.25">
      <c r="A709" t="s">
        <v>664</v>
      </c>
      <c r="B709" t="s">
        <v>665</v>
      </c>
      <c r="C709" t="s">
        <v>26</v>
      </c>
      <c r="D709">
        <v>40.357500000000002</v>
      </c>
      <c r="E709">
        <v>-100.66722</v>
      </c>
      <c r="K709">
        <v>0</v>
      </c>
      <c r="O709" t="s">
        <v>30</v>
      </c>
      <c r="P709" t="s">
        <v>107</v>
      </c>
      <c r="Q709" t="s">
        <v>21</v>
      </c>
    </row>
    <row r="710" spans="1:17" x14ac:dyDescent="0.25">
      <c r="A710" t="s">
        <v>693</v>
      </c>
      <c r="B710" t="s">
        <v>694</v>
      </c>
      <c r="C710" t="s">
        <v>41</v>
      </c>
      <c r="D710">
        <v>48.34111</v>
      </c>
      <c r="E710">
        <v>-114.01334</v>
      </c>
      <c r="K710">
        <v>0</v>
      </c>
      <c r="O710" t="s">
        <v>30</v>
      </c>
      <c r="Q710" t="s">
        <v>21</v>
      </c>
    </row>
    <row r="711" spans="1:17" x14ac:dyDescent="0.25">
      <c r="A711" t="s">
        <v>707</v>
      </c>
      <c r="B711" t="s">
        <v>708</v>
      </c>
      <c r="C711" t="s">
        <v>19</v>
      </c>
      <c r="D711">
        <v>39.20778</v>
      </c>
      <c r="E711">
        <v>-106.67889</v>
      </c>
      <c r="K711">
        <v>0</v>
      </c>
      <c r="O711" t="s">
        <v>20</v>
      </c>
      <c r="Q711" t="s">
        <v>21</v>
      </c>
    </row>
    <row r="712" spans="1:17" x14ac:dyDescent="0.25">
      <c r="A712" t="s">
        <v>725</v>
      </c>
      <c r="B712" t="s">
        <v>726</v>
      </c>
      <c r="C712" t="s">
        <v>19</v>
      </c>
      <c r="D712">
        <v>39.205829999999999</v>
      </c>
      <c r="E712">
        <v>-106.79694000000001</v>
      </c>
      <c r="K712">
        <v>0</v>
      </c>
      <c r="O712" t="s">
        <v>51</v>
      </c>
      <c r="Q712" t="s">
        <v>21</v>
      </c>
    </row>
    <row r="713" spans="1:17" x14ac:dyDescent="0.25">
      <c r="A713" t="s">
        <v>2719</v>
      </c>
      <c r="B713" t="s">
        <v>2720</v>
      </c>
      <c r="C713" t="s">
        <v>2283</v>
      </c>
      <c r="D713">
        <v>36.276899999999998</v>
      </c>
      <c r="E713">
        <v>-108.2533</v>
      </c>
      <c r="F713">
        <v>5770</v>
      </c>
      <c r="G713" t="s">
        <v>1576</v>
      </c>
      <c r="K713">
        <v>0</v>
      </c>
      <c r="O713" t="s">
        <v>51</v>
      </c>
      <c r="Q713" t="s">
        <v>2284</v>
      </c>
    </row>
    <row r="714" spans="1:17" x14ac:dyDescent="0.25">
      <c r="A714" t="s">
        <v>2721</v>
      </c>
      <c r="B714" t="s">
        <v>2722</v>
      </c>
      <c r="C714" t="s">
        <v>1622</v>
      </c>
      <c r="D714">
        <v>39.229999999999997</v>
      </c>
      <c r="E714">
        <v>-111.05</v>
      </c>
      <c r="F714">
        <v>5838</v>
      </c>
      <c r="G714" t="s">
        <v>1576</v>
      </c>
      <c r="K714">
        <v>0</v>
      </c>
      <c r="O714" t="s">
        <v>30</v>
      </c>
      <c r="Q714" t="s">
        <v>2284</v>
      </c>
    </row>
    <row r="715" spans="1:17" x14ac:dyDescent="0.25">
      <c r="A715" t="s">
        <v>1740</v>
      </c>
      <c r="B715" t="s">
        <v>1741</v>
      </c>
      <c r="C715" t="s">
        <v>1622</v>
      </c>
      <c r="D715">
        <v>39.307898000000002</v>
      </c>
      <c r="E715">
        <v>-110.97399</v>
      </c>
      <c r="F715">
        <v>1754</v>
      </c>
      <c r="G715" t="s">
        <v>1576</v>
      </c>
      <c r="H715" s="1">
        <v>41975</v>
      </c>
      <c r="J715" t="s">
        <v>1577</v>
      </c>
      <c r="K715">
        <v>0</v>
      </c>
      <c r="L715" t="s">
        <v>1578</v>
      </c>
      <c r="O715" t="s">
        <v>151</v>
      </c>
      <c r="P715" t="s">
        <v>1585</v>
      </c>
      <c r="Q715" t="s">
        <v>1580</v>
      </c>
    </row>
    <row r="716" spans="1:17" x14ac:dyDescent="0.25">
      <c r="A716" t="s">
        <v>674</v>
      </c>
      <c r="B716" t="s">
        <v>675</v>
      </c>
      <c r="C716" t="s">
        <v>41</v>
      </c>
      <c r="D716">
        <v>45.904170000000001</v>
      </c>
      <c r="E716">
        <v>-108.31694</v>
      </c>
      <c r="K716">
        <v>0</v>
      </c>
      <c r="O716" t="s">
        <v>34</v>
      </c>
      <c r="Q716" t="s">
        <v>21</v>
      </c>
    </row>
    <row r="717" spans="1:17" x14ac:dyDescent="0.25">
      <c r="A717" t="s">
        <v>2723</v>
      </c>
      <c r="B717" t="s">
        <v>2724</v>
      </c>
      <c r="C717" t="s">
        <v>1622</v>
      </c>
      <c r="D717">
        <v>41.372999999999998</v>
      </c>
      <c r="E717">
        <v>-111.152</v>
      </c>
      <c r="F717">
        <v>4672</v>
      </c>
      <c r="G717" t="s">
        <v>1576</v>
      </c>
      <c r="K717">
        <v>0</v>
      </c>
      <c r="O717" t="s">
        <v>30</v>
      </c>
      <c r="Q717" t="s">
        <v>2284</v>
      </c>
    </row>
    <row r="718" spans="1:17" x14ac:dyDescent="0.25">
      <c r="A718" t="s">
        <v>2725</v>
      </c>
      <c r="B718" t="s">
        <v>2726</v>
      </c>
      <c r="C718" t="s">
        <v>19</v>
      </c>
      <c r="D718">
        <v>37.933300000000003</v>
      </c>
      <c r="E718">
        <v>-107.66670000000001</v>
      </c>
      <c r="F718">
        <v>9800</v>
      </c>
      <c r="G718" t="s">
        <v>1576</v>
      </c>
      <c r="K718">
        <v>0</v>
      </c>
      <c r="O718" t="s">
        <v>57</v>
      </c>
      <c r="Q718" t="s">
        <v>2284</v>
      </c>
    </row>
    <row r="719" spans="1:17" x14ac:dyDescent="0.25">
      <c r="A719" t="s">
        <v>741</v>
      </c>
      <c r="B719" t="s">
        <v>742</v>
      </c>
      <c r="C719" t="s">
        <v>19</v>
      </c>
      <c r="D719">
        <v>40.717500000000001</v>
      </c>
      <c r="E719">
        <v>-107.06667</v>
      </c>
      <c r="K719">
        <v>0</v>
      </c>
      <c r="O719" t="s">
        <v>51</v>
      </c>
      <c r="Q719" t="s">
        <v>21</v>
      </c>
    </row>
    <row r="720" spans="1:17" x14ac:dyDescent="0.25">
      <c r="A720" t="s">
        <v>1758</v>
      </c>
      <c r="B720" t="s">
        <v>1759</v>
      </c>
      <c r="C720" t="s">
        <v>1588</v>
      </c>
      <c r="D720">
        <v>45.433329999999998</v>
      </c>
      <c r="E720">
        <v>-117.96666</v>
      </c>
      <c r="F720">
        <v>838.2</v>
      </c>
      <c r="G720" t="s">
        <v>1589</v>
      </c>
      <c r="H720" s="1">
        <v>34425</v>
      </c>
      <c r="J720" t="s">
        <v>1577</v>
      </c>
      <c r="K720">
        <v>0</v>
      </c>
      <c r="L720" t="s">
        <v>1578</v>
      </c>
      <c r="O720" t="s">
        <v>151</v>
      </c>
      <c r="P720" t="s">
        <v>1585</v>
      </c>
      <c r="Q720" t="s">
        <v>1580</v>
      </c>
    </row>
    <row r="721" spans="1:17" x14ac:dyDescent="0.25">
      <c r="A721" t="s">
        <v>2133</v>
      </c>
      <c r="B721" t="s">
        <v>2134</v>
      </c>
      <c r="C721" t="s">
        <v>1643</v>
      </c>
      <c r="D721">
        <v>32.869999999999997</v>
      </c>
      <c r="E721">
        <v>-114.48</v>
      </c>
      <c r="F721">
        <v>180.88</v>
      </c>
      <c r="G721" t="s">
        <v>1589</v>
      </c>
      <c r="K721">
        <v>0</v>
      </c>
      <c r="O721" t="s">
        <v>20</v>
      </c>
      <c r="Q721" t="s">
        <v>1988</v>
      </c>
    </row>
    <row r="722" spans="1:17" x14ac:dyDescent="0.25">
      <c r="A722" t="s">
        <v>2131</v>
      </c>
      <c r="B722" t="s">
        <v>2132</v>
      </c>
      <c r="C722" t="s">
        <v>1643</v>
      </c>
      <c r="D722">
        <v>32.869999999999997</v>
      </c>
      <c r="E722">
        <v>-114.48</v>
      </c>
      <c r="F722">
        <v>180.88</v>
      </c>
      <c r="G722" t="s">
        <v>1589</v>
      </c>
      <c r="K722">
        <v>0</v>
      </c>
      <c r="O722" t="s">
        <v>20</v>
      </c>
      <c r="Q722" t="s">
        <v>1988</v>
      </c>
    </row>
    <row r="723" spans="1:17" x14ac:dyDescent="0.25">
      <c r="A723" t="s">
        <v>2135</v>
      </c>
      <c r="B723" t="s">
        <v>2136</v>
      </c>
      <c r="C723" t="s">
        <v>1987</v>
      </c>
      <c r="D723">
        <v>33</v>
      </c>
      <c r="E723">
        <v>-114.4</v>
      </c>
      <c r="G723" t="s">
        <v>1576</v>
      </c>
      <c r="K723">
        <v>0</v>
      </c>
      <c r="O723" t="s">
        <v>20</v>
      </c>
      <c r="Q723" t="s">
        <v>1988</v>
      </c>
    </row>
    <row r="724" spans="1:17" x14ac:dyDescent="0.25">
      <c r="A724" t="s">
        <v>2137</v>
      </c>
      <c r="B724" t="s">
        <v>2138</v>
      </c>
      <c r="C724" t="s">
        <v>1987</v>
      </c>
      <c r="D724">
        <v>32.883600000000001</v>
      </c>
      <c r="E724">
        <v>-114.4667</v>
      </c>
      <c r="F724">
        <v>180.88</v>
      </c>
      <c r="G724" t="s">
        <v>1576</v>
      </c>
      <c r="K724">
        <v>0</v>
      </c>
      <c r="O724" t="s">
        <v>30</v>
      </c>
      <c r="Q724" t="s">
        <v>1988</v>
      </c>
    </row>
    <row r="725" spans="1:17" x14ac:dyDescent="0.25">
      <c r="A725" t="s">
        <v>3452</v>
      </c>
      <c r="B725" t="s">
        <v>3453</v>
      </c>
      <c r="C725" t="s">
        <v>1987</v>
      </c>
      <c r="D725">
        <v>32.883600000000001</v>
      </c>
      <c r="E725">
        <v>-114.4667</v>
      </c>
      <c r="F725">
        <v>180.88</v>
      </c>
      <c r="G725" t="s">
        <v>1576</v>
      </c>
      <c r="K725">
        <v>0</v>
      </c>
      <c r="O725" t="s">
        <v>30</v>
      </c>
      <c r="Q725" t="s">
        <v>3441</v>
      </c>
    </row>
    <row r="726" spans="1:17" x14ac:dyDescent="0.25">
      <c r="A726" t="s">
        <v>3454</v>
      </c>
      <c r="B726" t="s">
        <v>3455</v>
      </c>
      <c r="C726" t="s">
        <v>1987</v>
      </c>
      <c r="D726">
        <v>32.883600000000001</v>
      </c>
      <c r="E726">
        <v>-114.4667</v>
      </c>
      <c r="F726">
        <v>180.88</v>
      </c>
      <c r="G726" t="s">
        <v>1576</v>
      </c>
      <c r="K726">
        <v>0</v>
      </c>
      <c r="O726" t="s">
        <v>30</v>
      </c>
      <c r="Q726" t="s">
        <v>3441</v>
      </c>
    </row>
    <row r="727" spans="1:17" x14ac:dyDescent="0.25">
      <c r="A727" t="s">
        <v>2727</v>
      </c>
      <c r="B727" t="s">
        <v>2728</v>
      </c>
      <c r="C727" t="s">
        <v>19</v>
      </c>
      <c r="D727">
        <v>39.066699999999997</v>
      </c>
      <c r="E727">
        <v>-106.61669999999999</v>
      </c>
      <c r="F727">
        <v>10600</v>
      </c>
      <c r="G727" t="s">
        <v>1576</v>
      </c>
      <c r="K727">
        <v>0</v>
      </c>
      <c r="O727" t="s">
        <v>57</v>
      </c>
      <c r="Q727" t="s">
        <v>2284</v>
      </c>
    </row>
    <row r="728" spans="1:17" x14ac:dyDescent="0.25">
      <c r="A728" t="s">
        <v>91</v>
      </c>
      <c r="B728" t="s">
        <v>92</v>
      </c>
      <c r="C728" t="s">
        <v>19</v>
      </c>
      <c r="D728">
        <v>39.066670000000002</v>
      </c>
      <c r="E728">
        <v>-106.6</v>
      </c>
      <c r="F728">
        <v>11720</v>
      </c>
      <c r="K728">
        <v>0</v>
      </c>
      <c r="O728" t="s">
        <v>57</v>
      </c>
      <c r="Q728" t="s">
        <v>21</v>
      </c>
    </row>
    <row r="729" spans="1:17" x14ac:dyDescent="0.25">
      <c r="A729" t="s">
        <v>2729</v>
      </c>
      <c r="B729" t="s">
        <v>2730</v>
      </c>
      <c r="C729" t="s">
        <v>1622</v>
      </c>
      <c r="D729">
        <v>39.9</v>
      </c>
      <c r="E729">
        <v>-110.75</v>
      </c>
      <c r="F729">
        <v>9100</v>
      </c>
      <c r="G729" t="s">
        <v>1576</v>
      </c>
      <c r="K729">
        <v>0</v>
      </c>
      <c r="O729" t="s">
        <v>57</v>
      </c>
      <c r="Q729" t="s">
        <v>2284</v>
      </c>
    </row>
    <row r="730" spans="1:17" x14ac:dyDescent="0.25">
      <c r="A730" t="s">
        <v>2731</v>
      </c>
      <c r="B730" t="s">
        <v>2732</v>
      </c>
      <c r="C730" t="s">
        <v>37</v>
      </c>
      <c r="D730">
        <v>42.3</v>
      </c>
      <c r="E730">
        <v>-110.6833</v>
      </c>
      <c r="F730">
        <v>9425</v>
      </c>
      <c r="G730" t="s">
        <v>1576</v>
      </c>
      <c r="K730">
        <v>0</v>
      </c>
      <c r="O730" t="s">
        <v>57</v>
      </c>
      <c r="Q730" t="s">
        <v>2284</v>
      </c>
    </row>
    <row r="731" spans="1:17" x14ac:dyDescent="0.25">
      <c r="A731" t="s">
        <v>1906</v>
      </c>
      <c r="B731" t="s">
        <v>1907</v>
      </c>
      <c r="C731" t="s">
        <v>410</v>
      </c>
      <c r="D731">
        <v>43.624549999999999</v>
      </c>
      <c r="E731">
        <v>-113.2971</v>
      </c>
      <c r="F731">
        <v>1627.3271999999999</v>
      </c>
      <c r="G731" t="s">
        <v>1576</v>
      </c>
      <c r="J731" t="s">
        <v>1577</v>
      </c>
      <c r="K731">
        <v>0</v>
      </c>
      <c r="L731" t="s">
        <v>1578</v>
      </c>
      <c r="O731" t="s">
        <v>151</v>
      </c>
      <c r="P731" t="s">
        <v>1579</v>
      </c>
      <c r="Q731" t="s">
        <v>1580</v>
      </c>
    </row>
    <row r="732" spans="1:17" x14ac:dyDescent="0.25">
      <c r="A732" t="s">
        <v>1581</v>
      </c>
      <c r="B732" t="s">
        <v>1582</v>
      </c>
      <c r="C732" t="s">
        <v>410</v>
      </c>
      <c r="D732">
        <v>43.18985</v>
      </c>
      <c r="E732">
        <v>-112.33320000000001</v>
      </c>
      <c r="F732">
        <v>1377.6959999999999</v>
      </c>
      <c r="G732" t="s">
        <v>1576</v>
      </c>
      <c r="J732" t="s">
        <v>1577</v>
      </c>
      <c r="K732">
        <v>0</v>
      </c>
      <c r="L732" t="s">
        <v>1578</v>
      </c>
      <c r="O732" t="s">
        <v>151</v>
      </c>
      <c r="P732" t="s">
        <v>1579</v>
      </c>
      <c r="Q732" t="s">
        <v>1580</v>
      </c>
    </row>
    <row r="733" spans="1:17" x14ac:dyDescent="0.25">
      <c r="A733" t="s">
        <v>1730</v>
      </c>
      <c r="B733" t="s">
        <v>1731</v>
      </c>
      <c r="C733" t="s">
        <v>410</v>
      </c>
      <c r="D733">
        <v>44.007416999999997</v>
      </c>
      <c r="E733">
        <v>-112.238833</v>
      </c>
      <c r="F733">
        <v>1476.1464000000001</v>
      </c>
      <c r="G733" t="s">
        <v>1576</v>
      </c>
      <c r="J733" t="s">
        <v>1577</v>
      </c>
      <c r="K733">
        <v>0</v>
      </c>
      <c r="L733" t="s">
        <v>1578</v>
      </c>
      <c r="O733" t="s">
        <v>151</v>
      </c>
      <c r="P733" t="s">
        <v>1579</v>
      </c>
      <c r="Q733" t="s">
        <v>1580</v>
      </c>
    </row>
    <row r="734" spans="1:17" x14ac:dyDescent="0.25">
      <c r="A734" t="s">
        <v>1854</v>
      </c>
      <c r="B734" t="s">
        <v>1855</v>
      </c>
      <c r="C734" t="s">
        <v>410</v>
      </c>
      <c r="D734">
        <v>43.784117000000002</v>
      </c>
      <c r="E734">
        <v>-112.977317</v>
      </c>
      <c r="F734">
        <v>1467.6120000000001</v>
      </c>
      <c r="G734" t="s">
        <v>1576</v>
      </c>
      <c r="J734" t="s">
        <v>1577</v>
      </c>
      <c r="K734">
        <v>0</v>
      </c>
      <c r="L734" t="s">
        <v>1578</v>
      </c>
      <c r="O734" t="s">
        <v>151</v>
      </c>
      <c r="P734" t="s">
        <v>1579</v>
      </c>
      <c r="Q734" t="s">
        <v>1580</v>
      </c>
    </row>
    <row r="735" spans="1:17" x14ac:dyDescent="0.25">
      <c r="A735" t="s">
        <v>1754</v>
      </c>
      <c r="B735" t="s">
        <v>1755</v>
      </c>
      <c r="C735" t="s">
        <v>410</v>
      </c>
      <c r="D735">
        <v>43.504133000000003</v>
      </c>
      <c r="E735">
        <v>-112.050133</v>
      </c>
      <c r="F735">
        <v>1435.3032000000001</v>
      </c>
      <c r="G735" t="s">
        <v>1576</v>
      </c>
      <c r="J735" t="s">
        <v>1577</v>
      </c>
      <c r="K735">
        <v>0</v>
      </c>
      <c r="L735" t="s">
        <v>1578</v>
      </c>
      <c r="O735" t="s">
        <v>151</v>
      </c>
      <c r="P735" t="s">
        <v>1579</v>
      </c>
      <c r="Q735" t="s">
        <v>1580</v>
      </c>
    </row>
    <row r="736" spans="1:17" x14ac:dyDescent="0.25">
      <c r="A736" t="s">
        <v>1756</v>
      </c>
      <c r="B736" t="s">
        <v>1757</v>
      </c>
      <c r="C736" t="s">
        <v>410</v>
      </c>
      <c r="D736">
        <v>43.589700000000001</v>
      </c>
      <c r="E736">
        <v>-112.730267</v>
      </c>
      <c r="F736">
        <v>1606.627297</v>
      </c>
      <c r="G736" t="s">
        <v>1576</v>
      </c>
      <c r="J736" t="s">
        <v>1594</v>
      </c>
      <c r="K736">
        <v>0</v>
      </c>
      <c r="O736" t="s">
        <v>151</v>
      </c>
      <c r="P736" t="s">
        <v>1579</v>
      </c>
      <c r="Q736" t="s">
        <v>1580</v>
      </c>
    </row>
    <row r="737" spans="1:17" x14ac:dyDescent="0.25">
      <c r="A737" t="s">
        <v>1684</v>
      </c>
      <c r="B737" t="s">
        <v>1685</v>
      </c>
      <c r="C737" t="s">
        <v>410</v>
      </c>
      <c r="D737">
        <v>43.594132999999999</v>
      </c>
      <c r="E737">
        <v>-112.65173299999999</v>
      </c>
      <c r="F737">
        <v>1687.3359579999999</v>
      </c>
      <c r="G737" t="s">
        <v>1576</v>
      </c>
      <c r="J737" t="s">
        <v>1594</v>
      </c>
      <c r="K737">
        <v>0</v>
      </c>
      <c r="O737" t="s">
        <v>151</v>
      </c>
      <c r="P737" t="s">
        <v>1579</v>
      </c>
      <c r="Q737" t="s">
        <v>1580</v>
      </c>
    </row>
    <row r="738" spans="1:17" x14ac:dyDescent="0.25">
      <c r="A738" t="s">
        <v>1806</v>
      </c>
      <c r="B738" t="s">
        <v>1807</v>
      </c>
      <c r="C738" t="s">
        <v>410</v>
      </c>
      <c r="D738">
        <v>42.804417000000001</v>
      </c>
      <c r="E738">
        <v>-113.58965000000001</v>
      </c>
      <c r="F738">
        <v>1306.068</v>
      </c>
      <c r="G738" t="s">
        <v>1576</v>
      </c>
      <c r="J738" t="s">
        <v>1577</v>
      </c>
      <c r="K738">
        <v>0</v>
      </c>
      <c r="L738" t="s">
        <v>1578</v>
      </c>
      <c r="O738" t="s">
        <v>151</v>
      </c>
      <c r="P738" t="s">
        <v>1579</v>
      </c>
      <c r="Q738" t="s">
        <v>1580</v>
      </c>
    </row>
    <row r="739" spans="1:17" x14ac:dyDescent="0.25">
      <c r="A739" t="s">
        <v>1752</v>
      </c>
      <c r="B739" t="s">
        <v>1753</v>
      </c>
      <c r="C739" t="s">
        <v>410</v>
      </c>
      <c r="D739">
        <v>43.060600000000001</v>
      </c>
      <c r="E739">
        <v>-114.13458300000001</v>
      </c>
      <c r="F739">
        <v>1328.3184000000001</v>
      </c>
      <c r="G739" t="s">
        <v>1576</v>
      </c>
      <c r="J739" t="s">
        <v>1577</v>
      </c>
      <c r="K739">
        <v>0</v>
      </c>
      <c r="L739" t="s">
        <v>1578</v>
      </c>
      <c r="O739" t="s">
        <v>151</v>
      </c>
      <c r="P739" t="s">
        <v>1579</v>
      </c>
      <c r="Q739" t="s">
        <v>1580</v>
      </c>
    </row>
    <row r="740" spans="1:17" x14ac:dyDescent="0.25">
      <c r="A740" t="s">
        <v>1900</v>
      </c>
      <c r="B740" t="s">
        <v>1901</v>
      </c>
      <c r="C740" t="s">
        <v>410</v>
      </c>
      <c r="D740">
        <v>43.743516999999997</v>
      </c>
      <c r="E740">
        <v>-112.121117</v>
      </c>
      <c r="F740">
        <v>1450.848</v>
      </c>
      <c r="G740" t="s">
        <v>1576</v>
      </c>
      <c r="J740" t="s">
        <v>1577</v>
      </c>
      <c r="K740">
        <v>0</v>
      </c>
      <c r="L740" t="s">
        <v>1578</v>
      </c>
      <c r="O740" t="s">
        <v>151</v>
      </c>
      <c r="P740" t="s">
        <v>1579</v>
      </c>
      <c r="Q740" t="s">
        <v>1580</v>
      </c>
    </row>
    <row r="741" spans="1:17" x14ac:dyDescent="0.25">
      <c r="A741" t="s">
        <v>1790</v>
      </c>
      <c r="B741" t="s">
        <v>1791</v>
      </c>
      <c r="C741" t="s">
        <v>410</v>
      </c>
      <c r="D741">
        <v>43.859766999999998</v>
      </c>
      <c r="E741">
        <v>-112.730267</v>
      </c>
      <c r="F741">
        <v>1571.5223100000001</v>
      </c>
      <c r="G741" t="s">
        <v>1576</v>
      </c>
      <c r="J741" t="s">
        <v>1594</v>
      </c>
      <c r="K741">
        <v>0</v>
      </c>
      <c r="O741" t="s">
        <v>151</v>
      </c>
      <c r="P741" t="s">
        <v>1579</v>
      </c>
      <c r="Q741" t="s">
        <v>1580</v>
      </c>
    </row>
    <row r="742" spans="1:17" x14ac:dyDescent="0.25">
      <c r="A742" t="s">
        <v>1955</v>
      </c>
      <c r="B742" t="s">
        <v>1956</v>
      </c>
      <c r="C742" t="s">
        <v>410</v>
      </c>
      <c r="D742">
        <v>43.896583</v>
      </c>
      <c r="E742">
        <v>-111.737617</v>
      </c>
      <c r="F742">
        <v>1491.9960000000001</v>
      </c>
      <c r="G742" t="s">
        <v>1576</v>
      </c>
      <c r="J742" t="s">
        <v>1577</v>
      </c>
      <c r="K742">
        <v>0</v>
      </c>
      <c r="L742" t="s">
        <v>1578</v>
      </c>
      <c r="O742" t="s">
        <v>151</v>
      </c>
      <c r="P742" t="s">
        <v>1579</v>
      </c>
      <c r="Q742" t="s">
        <v>1580</v>
      </c>
    </row>
    <row r="743" spans="1:17" x14ac:dyDescent="0.25">
      <c r="A743" t="s">
        <v>1961</v>
      </c>
      <c r="B743" t="s">
        <v>1962</v>
      </c>
      <c r="C743" t="s">
        <v>410</v>
      </c>
      <c r="D743">
        <v>43.318683</v>
      </c>
      <c r="E743">
        <v>-112.6918</v>
      </c>
      <c r="F743">
        <v>1441.704</v>
      </c>
      <c r="G743" t="s">
        <v>1576</v>
      </c>
      <c r="J743" t="s">
        <v>1577</v>
      </c>
      <c r="K743">
        <v>0</v>
      </c>
      <c r="L743" t="s">
        <v>1578</v>
      </c>
      <c r="O743" t="s">
        <v>151</v>
      </c>
      <c r="P743" t="s">
        <v>1579</v>
      </c>
      <c r="Q743" t="s">
        <v>1580</v>
      </c>
    </row>
    <row r="744" spans="1:17" x14ac:dyDescent="0.25">
      <c r="A744" t="s">
        <v>1965</v>
      </c>
      <c r="B744" t="s">
        <v>1966</v>
      </c>
      <c r="C744" t="s">
        <v>410</v>
      </c>
      <c r="D744">
        <v>43.841683000000003</v>
      </c>
      <c r="E744">
        <v>-112.41825</v>
      </c>
      <c r="F744">
        <v>1460.6016</v>
      </c>
      <c r="G744" t="s">
        <v>1576</v>
      </c>
      <c r="J744" t="s">
        <v>1577</v>
      </c>
      <c r="K744">
        <v>0</v>
      </c>
      <c r="L744" t="s">
        <v>1578</v>
      </c>
      <c r="O744" t="s">
        <v>151</v>
      </c>
      <c r="P744" t="s">
        <v>1579</v>
      </c>
      <c r="Q744" t="s">
        <v>1580</v>
      </c>
    </row>
    <row r="745" spans="1:17" x14ac:dyDescent="0.25">
      <c r="A745" t="s">
        <v>735</v>
      </c>
      <c r="B745" t="s">
        <v>736</v>
      </c>
      <c r="C745" t="s">
        <v>37</v>
      </c>
      <c r="D745">
        <v>42.24306</v>
      </c>
      <c r="E745">
        <v>-104.6125</v>
      </c>
      <c r="K745">
        <v>0</v>
      </c>
      <c r="O745" t="s">
        <v>34</v>
      </c>
      <c r="Q745" t="s">
        <v>21</v>
      </c>
    </row>
    <row r="746" spans="1:17" x14ac:dyDescent="0.25">
      <c r="A746" t="s">
        <v>1760</v>
      </c>
      <c r="B746" t="s">
        <v>1761</v>
      </c>
      <c r="C746" t="s">
        <v>410</v>
      </c>
      <c r="D746">
        <v>44.418931540000003</v>
      </c>
      <c r="E746">
        <v>-111.39842760000001</v>
      </c>
      <c r="F746">
        <v>6302</v>
      </c>
      <c r="G746" t="s">
        <v>1576</v>
      </c>
      <c r="H746" s="2">
        <v>0</v>
      </c>
      <c r="J746" t="s">
        <v>1594</v>
      </c>
      <c r="K746">
        <v>0</v>
      </c>
      <c r="L746" t="s">
        <v>1599</v>
      </c>
      <c r="O746" t="s">
        <v>30</v>
      </c>
      <c r="P746" t="s">
        <v>1585</v>
      </c>
      <c r="Q746" t="s">
        <v>1580</v>
      </c>
    </row>
    <row r="747" spans="1:17" x14ac:dyDescent="0.25">
      <c r="A747" t="s">
        <v>743</v>
      </c>
      <c r="B747" t="s">
        <v>744</v>
      </c>
      <c r="C747" t="s">
        <v>410</v>
      </c>
      <c r="D747">
        <v>44.419449999999998</v>
      </c>
      <c r="E747">
        <v>-111.37056</v>
      </c>
      <c r="F747">
        <v>6290</v>
      </c>
      <c r="K747">
        <v>0</v>
      </c>
      <c r="O747" t="s">
        <v>57</v>
      </c>
      <c r="Q747" t="s">
        <v>21</v>
      </c>
    </row>
    <row r="748" spans="1:17" x14ac:dyDescent="0.25">
      <c r="A748" t="s">
        <v>2733</v>
      </c>
      <c r="B748" t="s">
        <v>2734</v>
      </c>
      <c r="C748" t="s">
        <v>19</v>
      </c>
      <c r="D748">
        <v>39.283299999999997</v>
      </c>
      <c r="E748">
        <v>-106.55</v>
      </c>
      <c r="F748">
        <v>10400</v>
      </c>
      <c r="G748" t="s">
        <v>1576</v>
      </c>
      <c r="K748">
        <v>0</v>
      </c>
      <c r="O748" t="s">
        <v>57</v>
      </c>
      <c r="Q748" t="s">
        <v>2284</v>
      </c>
    </row>
    <row r="749" spans="1:17" x14ac:dyDescent="0.25">
      <c r="A749" t="s">
        <v>745</v>
      </c>
      <c r="B749" t="s">
        <v>746</v>
      </c>
      <c r="C749" t="s">
        <v>19</v>
      </c>
      <c r="D749">
        <v>39.287500000000001</v>
      </c>
      <c r="E749">
        <v>-106.55889000000001</v>
      </c>
      <c r="K749">
        <v>0</v>
      </c>
      <c r="O749" t="s">
        <v>20</v>
      </c>
      <c r="Q749" t="s">
        <v>21</v>
      </c>
    </row>
    <row r="750" spans="1:17" x14ac:dyDescent="0.25">
      <c r="A750" t="s">
        <v>737</v>
      </c>
      <c r="B750" t="s">
        <v>738</v>
      </c>
      <c r="C750" t="s">
        <v>19</v>
      </c>
      <c r="D750">
        <v>39.255549999999999</v>
      </c>
      <c r="E750">
        <v>-106.48305999999999</v>
      </c>
      <c r="F750">
        <v>12105</v>
      </c>
      <c r="K750">
        <v>0</v>
      </c>
      <c r="O750" t="s">
        <v>57</v>
      </c>
      <c r="Q750" t="s">
        <v>21</v>
      </c>
    </row>
    <row r="751" spans="1:17" x14ac:dyDescent="0.25">
      <c r="A751" t="s">
        <v>2735</v>
      </c>
      <c r="B751" t="s">
        <v>2736</v>
      </c>
      <c r="C751" t="s">
        <v>19</v>
      </c>
      <c r="D751">
        <v>37.398699999999998</v>
      </c>
      <c r="E751">
        <v>-108.2744</v>
      </c>
      <c r="F751">
        <v>7840</v>
      </c>
      <c r="G751" t="s">
        <v>1576</v>
      </c>
      <c r="K751">
        <v>0</v>
      </c>
      <c r="O751" t="s">
        <v>30</v>
      </c>
      <c r="Q751" t="s">
        <v>2284</v>
      </c>
    </row>
    <row r="752" spans="1:17" x14ac:dyDescent="0.25">
      <c r="A752" t="s">
        <v>1764</v>
      </c>
      <c r="B752" t="s">
        <v>1765</v>
      </c>
      <c r="C752" t="s">
        <v>37</v>
      </c>
      <c r="D752">
        <v>43.857532499999998</v>
      </c>
      <c r="E752">
        <v>-110.5897446</v>
      </c>
      <c r="F752">
        <v>6789</v>
      </c>
      <c r="G752" t="s">
        <v>1576</v>
      </c>
      <c r="H752" s="2">
        <v>0</v>
      </c>
      <c r="I752">
        <v>13011000</v>
      </c>
      <c r="J752" t="s">
        <v>1594</v>
      </c>
      <c r="K752">
        <v>0</v>
      </c>
      <c r="L752" t="s">
        <v>1599</v>
      </c>
      <c r="O752" t="s">
        <v>30</v>
      </c>
      <c r="P752" t="s">
        <v>1596</v>
      </c>
      <c r="Q752" t="s">
        <v>1580</v>
      </c>
    </row>
    <row r="753" spans="1:17" x14ac:dyDescent="0.25">
      <c r="A753" t="s">
        <v>747</v>
      </c>
      <c r="B753" t="s">
        <v>748</v>
      </c>
      <c r="C753" t="s">
        <v>483</v>
      </c>
      <c r="D753">
        <v>46.93056</v>
      </c>
      <c r="E753">
        <v>-98.706379999999996</v>
      </c>
      <c r="K753">
        <v>0</v>
      </c>
      <c r="O753" t="s">
        <v>30</v>
      </c>
      <c r="P753" t="s">
        <v>31</v>
      </c>
      <c r="Q753" t="s">
        <v>21</v>
      </c>
    </row>
    <row r="754" spans="1:17" x14ac:dyDescent="0.25">
      <c r="A754" t="s">
        <v>1378</v>
      </c>
      <c r="B754" t="s">
        <v>1379</v>
      </c>
      <c r="C754" t="s">
        <v>41</v>
      </c>
      <c r="D754">
        <v>45.897779999999997</v>
      </c>
      <c r="E754">
        <v>-111.59583000000001</v>
      </c>
      <c r="K754">
        <v>0</v>
      </c>
      <c r="O754" t="s">
        <v>51</v>
      </c>
      <c r="Q754" t="s">
        <v>21</v>
      </c>
    </row>
    <row r="755" spans="1:17" x14ac:dyDescent="0.25">
      <c r="A755" t="s">
        <v>753</v>
      </c>
      <c r="B755" t="s">
        <v>754</v>
      </c>
      <c r="C755" t="s">
        <v>41</v>
      </c>
      <c r="D755">
        <v>45.616660000000003</v>
      </c>
      <c r="E755">
        <v>-112.31667</v>
      </c>
      <c r="K755">
        <v>0</v>
      </c>
      <c r="O755" t="s">
        <v>51</v>
      </c>
      <c r="Q755" t="s">
        <v>21</v>
      </c>
    </row>
    <row r="756" spans="1:17" x14ac:dyDescent="0.25">
      <c r="A756" t="s">
        <v>755</v>
      </c>
      <c r="B756" t="s">
        <v>756</v>
      </c>
      <c r="C756" t="s">
        <v>41</v>
      </c>
      <c r="D756">
        <v>45.797780000000003</v>
      </c>
      <c r="E756">
        <v>-112.16528</v>
      </c>
      <c r="F756">
        <v>4415</v>
      </c>
      <c r="K756">
        <v>0</v>
      </c>
      <c r="O756" t="s">
        <v>151</v>
      </c>
      <c r="Q756" t="s">
        <v>21</v>
      </c>
    </row>
    <row r="757" spans="1:17" x14ac:dyDescent="0.25">
      <c r="A757" t="s">
        <v>2737</v>
      </c>
      <c r="B757" t="s">
        <v>2738</v>
      </c>
      <c r="C757" t="s">
        <v>2283</v>
      </c>
      <c r="D757">
        <v>35.388599999999997</v>
      </c>
      <c r="E757">
        <v>-106.54389999999999</v>
      </c>
      <c r="G757" t="s">
        <v>1576</v>
      </c>
      <c r="K757">
        <v>0</v>
      </c>
      <c r="O757" t="s">
        <v>30</v>
      </c>
      <c r="Q757" t="s">
        <v>2284</v>
      </c>
    </row>
    <row r="758" spans="1:17" x14ac:dyDescent="0.25">
      <c r="A758" t="s">
        <v>757</v>
      </c>
      <c r="B758" t="s">
        <v>758</v>
      </c>
      <c r="C758" t="s">
        <v>19</v>
      </c>
      <c r="D758">
        <v>40.516669999999998</v>
      </c>
      <c r="E758">
        <v>-105.85</v>
      </c>
      <c r="F758">
        <v>10120</v>
      </c>
      <c r="K758">
        <v>0</v>
      </c>
      <c r="O758" t="s">
        <v>57</v>
      </c>
      <c r="Q758" t="s">
        <v>21</v>
      </c>
    </row>
    <row r="759" spans="1:17" x14ac:dyDescent="0.25">
      <c r="A759" t="s">
        <v>2739</v>
      </c>
      <c r="B759" t="s">
        <v>2740</v>
      </c>
      <c r="C759" t="s">
        <v>1622</v>
      </c>
      <c r="D759">
        <v>39.162599999999998</v>
      </c>
      <c r="E759">
        <v>-111.1554</v>
      </c>
      <c r="F759">
        <v>6989.7</v>
      </c>
      <c r="G759" t="s">
        <v>1576</v>
      </c>
      <c r="K759">
        <v>0</v>
      </c>
      <c r="O759" t="s">
        <v>30</v>
      </c>
      <c r="Q759" t="s">
        <v>2284</v>
      </c>
    </row>
    <row r="760" spans="1:17" x14ac:dyDescent="0.25">
      <c r="A760" t="s">
        <v>751</v>
      </c>
      <c r="B760" t="s">
        <v>752</v>
      </c>
      <c r="C760" t="s">
        <v>19</v>
      </c>
      <c r="D760">
        <v>38.068049999999999</v>
      </c>
      <c r="E760">
        <v>-102.93694000000001</v>
      </c>
      <c r="K760">
        <v>0</v>
      </c>
      <c r="O760" t="s">
        <v>30</v>
      </c>
      <c r="P760" t="s">
        <v>38</v>
      </c>
      <c r="Q760" t="s">
        <v>21</v>
      </c>
    </row>
    <row r="761" spans="1:17" x14ac:dyDescent="0.25">
      <c r="A761" t="s">
        <v>749</v>
      </c>
      <c r="B761" t="s">
        <v>750</v>
      </c>
      <c r="C761" t="s">
        <v>37</v>
      </c>
      <c r="D761">
        <v>43.150829999999999</v>
      </c>
      <c r="E761">
        <v>-108.72833</v>
      </c>
      <c r="K761">
        <v>0</v>
      </c>
      <c r="O761" t="s">
        <v>34</v>
      </c>
      <c r="Q761" t="s">
        <v>21</v>
      </c>
    </row>
    <row r="762" spans="1:17" x14ac:dyDescent="0.25">
      <c r="A762" t="s">
        <v>2741</v>
      </c>
      <c r="B762" t="s">
        <v>2742</v>
      </c>
      <c r="C762" t="s">
        <v>1622</v>
      </c>
      <c r="D762">
        <v>40.36</v>
      </c>
      <c r="E762">
        <v>-111.253</v>
      </c>
      <c r="F762">
        <v>6130</v>
      </c>
      <c r="G762" t="s">
        <v>1576</v>
      </c>
      <c r="K762">
        <v>0</v>
      </c>
      <c r="O762" t="s">
        <v>30</v>
      </c>
      <c r="Q762" t="s">
        <v>2284</v>
      </c>
    </row>
    <row r="763" spans="1:17" x14ac:dyDescent="0.25">
      <c r="A763" t="s">
        <v>3493</v>
      </c>
      <c r="B763" t="s">
        <v>3494</v>
      </c>
      <c r="C763" t="s">
        <v>1643</v>
      </c>
      <c r="D763">
        <v>40.646999999999998</v>
      </c>
      <c r="E763">
        <v>-122.626</v>
      </c>
      <c r="F763">
        <v>1238</v>
      </c>
      <c r="G763" t="s">
        <v>1589</v>
      </c>
      <c r="K763">
        <v>0</v>
      </c>
      <c r="O763" t="s">
        <v>3495</v>
      </c>
      <c r="Q763" t="s">
        <v>3478</v>
      </c>
    </row>
    <row r="764" spans="1:17" x14ac:dyDescent="0.25">
      <c r="A764" t="s">
        <v>2743</v>
      </c>
      <c r="B764" t="s">
        <v>2744</v>
      </c>
      <c r="C764" t="s">
        <v>19</v>
      </c>
      <c r="D764">
        <v>37.334200000000003</v>
      </c>
      <c r="E764">
        <v>-107.9089</v>
      </c>
      <c r="F764">
        <v>7045.65</v>
      </c>
      <c r="G764" t="s">
        <v>1576</v>
      </c>
      <c r="K764">
        <v>0</v>
      </c>
      <c r="O764" t="s">
        <v>51</v>
      </c>
      <c r="Q764" t="s">
        <v>2284</v>
      </c>
    </row>
    <row r="765" spans="1:17" x14ac:dyDescent="0.25">
      <c r="A765" t="s">
        <v>765</v>
      </c>
      <c r="B765" t="s">
        <v>766</v>
      </c>
      <c r="C765" t="s">
        <v>37</v>
      </c>
      <c r="D765">
        <v>41.979170000000003</v>
      </c>
      <c r="E765">
        <v>-104.07083</v>
      </c>
      <c r="K765">
        <v>0</v>
      </c>
      <c r="O765" t="s">
        <v>51</v>
      </c>
      <c r="Q765" t="s">
        <v>21</v>
      </c>
    </row>
    <row r="766" spans="1:17" x14ac:dyDescent="0.25">
      <c r="A766" t="s">
        <v>777</v>
      </c>
      <c r="B766" t="s">
        <v>778</v>
      </c>
      <c r="C766" t="s">
        <v>44</v>
      </c>
      <c r="D766">
        <v>39.807499999999997</v>
      </c>
      <c r="E766">
        <v>-99.934169999999995</v>
      </c>
      <c r="K766">
        <v>0</v>
      </c>
      <c r="O766" t="s">
        <v>30</v>
      </c>
      <c r="P766" t="s">
        <v>107</v>
      </c>
      <c r="Q766" t="s">
        <v>21</v>
      </c>
    </row>
    <row r="767" spans="1:17" x14ac:dyDescent="0.25">
      <c r="A767" t="s">
        <v>2745</v>
      </c>
      <c r="B767" t="s">
        <v>2746</v>
      </c>
      <c r="C767" t="s">
        <v>37</v>
      </c>
      <c r="D767">
        <v>42.25</v>
      </c>
      <c r="E767">
        <v>-110.8</v>
      </c>
      <c r="F767">
        <v>8180</v>
      </c>
      <c r="G767" t="s">
        <v>1576</v>
      </c>
      <c r="K767">
        <v>0</v>
      </c>
      <c r="O767" t="s">
        <v>57</v>
      </c>
      <c r="Q767" t="s">
        <v>2284</v>
      </c>
    </row>
    <row r="768" spans="1:17" x14ac:dyDescent="0.25">
      <c r="A768" t="s">
        <v>2747</v>
      </c>
      <c r="B768" t="s">
        <v>2748</v>
      </c>
      <c r="C768" t="s">
        <v>37</v>
      </c>
      <c r="D768">
        <v>43.25</v>
      </c>
      <c r="E768">
        <v>-110.0167</v>
      </c>
      <c r="F768">
        <v>7740</v>
      </c>
      <c r="G768" t="s">
        <v>1576</v>
      </c>
      <c r="K768">
        <v>0</v>
      </c>
      <c r="O768" t="s">
        <v>57</v>
      </c>
      <c r="Q768" t="s">
        <v>2284</v>
      </c>
    </row>
    <row r="769" spans="1:17" x14ac:dyDescent="0.25">
      <c r="A769" t="s">
        <v>763</v>
      </c>
      <c r="B769" t="s">
        <v>764</v>
      </c>
      <c r="C769" t="s">
        <v>26</v>
      </c>
      <c r="D769">
        <v>41.762500000000003</v>
      </c>
      <c r="E769">
        <v>-99.25</v>
      </c>
      <c r="K769">
        <v>0</v>
      </c>
      <c r="O769" t="s">
        <v>20</v>
      </c>
      <c r="Q769" t="s">
        <v>21</v>
      </c>
    </row>
    <row r="770" spans="1:17" x14ac:dyDescent="0.25">
      <c r="A770" t="s">
        <v>3496</v>
      </c>
      <c r="B770" t="s">
        <v>3497</v>
      </c>
      <c r="C770" t="s">
        <v>1643</v>
      </c>
      <c r="D770">
        <v>40.600999999999999</v>
      </c>
      <c r="E770">
        <v>-122.443</v>
      </c>
      <c r="F770">
        <v>596</v>
      </c>
      <c r="G770" t="s">
        <v>1589</v>
      </c>
      <c r="K770">
        <v>0</v>
      </c>
      <c r="O770" t="s">
        <v>30</v>
      </c>
      <c r="Q770" t="s">
        <v>3478</v>
      </c>
    </row>
    <row r="771" spans="1:17" x14ac:dyDescent="0.25">
      <c r="A771" t="s">
        <v>1772</v>
      </c>
      <c r="B771" t="s">
        <v>1773</v>
      </c>
      <c r="C771" t="s">
        <v>410</v>
      </c>
      <c r="D771">
        <v>43.548611110000003</v>
      </c>
      <c r="E771">
        <v>-112.3258333</v>
      </c>
      <c r="F771">
        <v>1565</v>
      </c>
      <c r="G771" t="s">
        <v>1576</v>
      </c>
      <c r="H771" s="1">
        <v>34987</v>
      </c>
      <c r="J771" t="s">
        <v>1577</v>
      </c>
      <c r="K771">
        <v>0</v>
      </c>
      <c r="L771" t="s">
        <v>1578</v>
      </c>
      <c r="O771" t="s">
        <v>151</v>
      </c>
      <c r="P771" t="s">
        <v>1579</v>
      </c>
      <c r="Q771" t="s">
        <v>1580</v>
      </c>
    </row>
    <row r="772" spans="1:17" x14ac:dyDescent="0.25">
      <c r="A772" t="s">
        <v>1770</v>
      </c>
      <c r="B772" t="s">
        <v>1771</v>
      </c>
      <c r="C772" t="s">
        <v>1628</v>
      </c>
      <c r="D772">
        <v>48.594999999999999</v>
      </c>
      <c r="E772">
        <v>-118.12416</v>
      </c>
      <c r="F772">
        <v>408.43</v>
      </c>
      <c r="G772" t="s">
        <v>1589</v>
      </c>
      <c r="H772" s="1">
        <v>37363</v>
      </c>
      <c r="J772" t="s">
        <v>1577</v>
      </c>
      <c r="K772">
        <v>0</v>
      </c>
      <c r="L772" t="s">
        <v>1578</v>
      </c>
      <c r="O772" t="s">
        <v>151</v>
      </c>
      <c r="P772" t="s">
        <v>1585</v>
      </c>
      <c r="Q772" t="s">
        <v>1580</v>
      </c>
    </row>
    <row r="773" spans="1:17" x14ac:dyDescent="0.25">
      <c r="A773" t="s">
        <v>767</v>
      </c>
      <c r="B773" t="s">
        <v>768</v>
      </c>
      <c r="C773" t="s">
        <v>37</v>
      </c>
      <c r="D773">
        <v>44.38194</v>
      </c>
      <c r="E773">
        <v>-104.77916999999999</v>
      </c>
      <c r="K773">
        <v>0</v>
      </c>
      <c r="O773" t="s">
        <v>30</v>
      </c>
      <c r="P773" t="s">
        <v>31</v>
      </c>
      <c r="Q773" t="s">
        <v>21</v>
      </c>
    </row>
    <row r="774" spans="1:17" x14ac:dyDescent="0.25">
      <c r="A774" t="s">
        <v>2749</v>
      </c>
      <c r="B774" t="s">
        <v>2750</v>
      </c>
      <c r="C774" t="s">
        <v>19</v>
      </c>
      <c r="D774">
        <v>39.299999999999997</v>
      </c>
      <c r="E774">
        <v>-106.61669999999999</v>
      </c>
      <c r="F774">
        <v>9600</v>
      </c>
      <c r="G774" t="s">
        <v>1576</v>
      </c>
      <c r="K774">
        <v>0</v>
      </c>
      <c r="O774" t="s">
        <v>57</v>
      </c>
      <c r="Q774" t="s">
        <v>2284</v>
      </c>
    </row>
    <row r="775" spans="1:17" x14ac:dyDescent="0.25">
      <c r="A775" t="s">
        <v>769</v>
      </c>
      <c r="B775" t="s">
        <v>770</v>
      </c>
      <c r="C775" t="s">
        <v>19</v>
      </c>
      <c r="D775">
        <v>39.316670000000002</v>
      </c>
      <c r="E775">
        <v>-106.61667</v>
      </c>
      <c r="F775">
        <v>9600</v>
      </c>
      <c r="K775">
        <v>0</v>
      </c>
      <c r="O775" t="s">
        <v>57</v>
      </c>
      <c r="Q775" t="s">
        <v>21</v>
      </c>
    </row>
    <row r="776" spans="1:17" x14ac:dyDescent="0.25">
      <c r="A776" t="s">
        <v>2751</v>
      </c>
      <c r="B776" t="s">
        <v>2752</v>
      </c>
      <c r="C776" t="s">
        <v>1622</v>
      </c>
      <c r="D776">
        <v>38.4833</v>
      </c>
      <c r="E776">
        <v>-112.38330000000001</v>
      </c>
      <c r="F776">
        <v>9300</v>
      </c>
      <c r="G776" t="s">
        <v>1576</v>
      </c>
      <c r="K776">
        <v>0</v>
      </c>
      <c r="O776" t="s">
        <v>57</v>
      </c>
      <c r="Q776" t="s">
        <v>2284</v>
      </c>
    </row>
    <row r="777" spans="1:17" x14ac:dyDescent="0.25">
      <c r="A777" t="s">
        <v>2753</v>
      </c>
      <c r="B777" t="s">
        <v>2754</v>
      </c>
      <c r="C777" t="s">
        <v>2283</v>
      </c>
      <c r="D777">
        <v>35.848599999999998</v>
      </c>
      <c r="E777">
        <v>-108.06</v>
      </c>
      <c r="F777">
        <v>6300</v>
      </c>
      <c r="G777" t="s">
        <v>1576</v>
      </c>
      <c r="K777">
        <v>0</v>
      </c>
      <c r="O777" t="s">
        <v>51</v>
      </c>
      <c r="Q777" t="s">
        <v>2284</v>
      </c>
    </row>
    <row r="778" spans="1:17" x14ac:dyDescent="0.25">
      <c r="A778" t="s">
        <v>2755</v>
      </c>
      <c r="B778" t="s">
        <v>2756</v>
      </c>
      <c r="C778" t="s">
        <v>2283</v>
      </c>
      <c r="D778">
        <v>35.979199999999999</v>
      </c>
      <c r="E778">
        <v>-108.1375</v>
      </c>
      <c r="F778">
        <v>6060</v>
      </c>
      <c r="G778" t="s">
        <v>1576</v>
      </c>
      <c r="K778">
        <v>0</v>
      </c>
      <c r="O778" t="s">
        <v>51</v>
      </c>
      <c r="Q778" t="s">
        <v>2284</v>
      </c>
    </row>
    <row r="779" spans="1:17" x14ac:dyDescent="0.25">
      <c r="A779" t="s">
        <v>2757</v>
      </c>
      <c r="B779" t="s">
        <v>2758</v>
      </c>
      <c r="C779" t="s">
        <v>1622</v>
      </c>
      <c r="D779">
        <v>40.716700000000003</v>
      </c>
      <c r="E779">
        <v>-109.55</v>
      </c>
      <c r="F779">
        <v>8730</v>
      </c>
      <c r="G779" t="s">
        <v>1576</v>
      </c>
      <c r="K779">
        <v>0</v>
      </c>
      <c r="O779" t="s">
        <v>57</v>
      </c>
      <c r="Q779" t="s">
        <v>2284</v>
      </c>
    </row>
    <row r="780" spans="1:17" x14ac:dyDescent="0.25">
      <c r="A780" t="s">
        <v>761</v>
      </c>
      <c r="B780" t="s">
        <v>762</v>
      </c>
      <c r="C780" t="s">
        <v>37</v>
      </c>
      <c r="D780">
        <v>43.68</v>
      </c>
      <c r="E780">
        <v>-108.1825</v>
      </c>
      <c r="K780">
        <v>0</v>
      </c>
      <c r="O780" t="s">
        <v>34</v>
      </c>
      <c r="Q780" t="s">
        <v>21</v>
      </c>
    </row>
    <row r="781" spans="1:17" x14ac:dyDescent="0.25">
      <c r="A781" t="s">
        <v>779</v>
      </c>
      <c r="B781" t="s">
        <v>780</v>
      </c>
      <c r="C781" t="s">
        <v>44</v>
      </c>
      <c r="D781">
        <v>39.663609999999998</v>
      </c>
      <c r="E781">
        <v>-99.12473</v>
      </c>
      <c r="K781">
        <v>0</v>
      </c>
      <c r="O781" t="s">
        <v>30</v>
      </c>
      <c r="P781" t="s">
        <v>107</v>
      </c>
      <c r="Q781" t="s">
        <v>21</v>
      </c>
    </row>
    <row r="782" spans="1:17" x14ac:dyDescent="0.25">
      <c r="A782" t="s">
        <v>775</v>
      </c>
      <c r="B782" t="s">
        <v>776</v>
      </c>
      <c r="C782" t="s">
        <v>37</v>
      </c>
      <c r="D782">
        <v>43.866660000000003</v>
      </c>
      <c r="E782">
        <v>-107.31667</v>
      </c>
      <c r="F782">
        <v>9550</v>
      </c>
      <c r="K782">
        <v>0</v>
      </c>
      <c r="O782" t="s">
        <v>57</v>
      </c>
      <c r="Q782" t="s">
        <v>21</v>
      </c>
    </row>
    <row r="783" spans="1:17" x14ac:dyDescent="0.25">
      <c r="A783" t="s">
        <v>1768</v>
      </c>
      <c r="B783" t="s">
        <v>1769</v>
      </c>
      <c r="C783" t="s">
        <v>1588</v>
      </c>
      <c r="D783">
        <v>42.164720000000003</v>
      </c>
      <c r="E783">
        <v>-121.755</v>
      </c>
      <c r="F783">
        <v>1249.68</v>
      </c>
      <c r="G783" t="s">
        <v>1589</v>
      </c>
      <c r="H783" s="1">
        <v>36249</v>
      </c>
      <c r="J783" t="s">
        <v>1577</v>
      </c>
      <c r="K783">
        <v>0</v>
      </c>
      <c r="L783" t="s">
        <v>1578</v>
      </c>
      <c r="O783" t="s">
        <v>151</v>
      </c>
      <c r="P783" t="s">
        <v>1585</v>
      </c>
      <c r="Q783" t="s">
        <v>1580</v>
      </c>
    </row>
    <row r="784" spans="1:17" x14ac:dyDescent="0.25">
      <c r="A784" t="s">
        <v>771</v>
      </c>
      <c r="B784" t="s">
        <v>772</v>
      </c>
      <c r="C784" t="s">
        <v>37</v>
      </c>
      <c r="D784">
        <v>42.18</v>
      </c>
      <c r="E784">
        <v>-106.88499</v>
      </c>
      <c r="K784">
        <v>0</v>
      </c>
      <c r="O784" t="s">
        <v>30</v>
      </c>
      <c r="P784" t="s">
        <v>54</v>
      </c>
      <c r="Q784" t="s">
        <v>21</v>
      </c>
    </row>
    <row r="785" spans="1:17" x14ac:dyDescent="0.25">
      <c r="A785" t="s">
        <v>2769</v>
      </c>
      <c r="B785" t="s">
        <v>2770</v>
      </c>
      <c r="C785" t="s">
        <v>19</v>
      </c>
      <c r="D785">
        <v>36.999699999999997</v>
      </c>
      <c r="E785">
        <v>-108.18810000000001</v>
      </c>
      <c r="F785">
        <v>5972.03</v>
      </c>
      <c r="G785" t="s">
        <v>1576</v>
      </c>
      <c r="K785">
        <v>0</v>
      </c>
      <c r="O785" t="s">
        <v>51</v>
      </c>
      <c r="Q785" t="s">
        <v>2284</v>
      </c>
    </row>
    <row r="786" spans="1:17" x14ac:dyDescent="0.25">
      <c r="A786" t="s">
        <v>2771</v>
      </c>
      <c r="B786" t="s">
        <v>2772</v>
      </c>
      <c r="C786" t="s">
        <v>19</v>
      </c>
      <c r="D786">
        <v>37.289700000000003</v>
      </c>
      <c r="E786">
        <v>-108.04</v>
      </c>
      <c r="F786">
        <v>8104.71</v>
      </c>
      <c r="G786" t="s">
        <v>1576</v>
      </c>
      <c r="K786">
        <v>0</v>
      </c>
      <c r="O786" t="s">
        <v>51</v>
      </c>
      <c r="Q786" t="s">
        <v>2284</v>
      </c>
    </row>
    <row r="787" spans="1:17" x14ac:dyDescent="0.25">
      <c r="A787" t="s">
        <v>2773</v>
      </c>
      <c r="B787" t="s">
        <v>2774</v>
      </c>
      <c r="C787" t="s">
        <v>2283</v>
      </c>
      <c r="D787">
        <v>36.739699999999999</v>
      </c>
      <c r="E787">
        <v>-108.2475</v>
      </c>
      <c r="F787">
        <v>5215</v>
      </c>
      <c r="G787" t="s">
        <v>1576</v>
      </c>
      <c r="K787">
        <v>0</v>
      </c>
      <c r="O787" t="s">
        <v>51</v>
      </c>
      <c r="Q787" t="s">
        <v>2284</v>
      </c>
    </row>
    <row r="788" spans="1:17" x14ac:dyDescent="0.25">
      <c r="A788" t="s">
        <v>2775</v>
      </c>
      <c r="B788" t="s">
        <v>2776</v>
      </c>
      <c r="C788" t="s">
        <v>2283</v>
      </c>
      <c r="D788">
        <v>36.786099999999998</v>
      </c>
      <c r="E788">
        <v>-108.2253</v>
      </c>
      <c r="F788">
        <v>5375</v>
      </c>
      <c r="G788" t="s">
        <v>1576</v>
      </c>
      <c r="K788">
        <v>0</v>
      </c>
      <c r="O788" t="s">
        <v>51</v>
      </c>
      <c r="Q788" t="s">
        <v>2284</v>
      </c>
    </row>
    <row r="789" spans="1:17" x14ac:dyDescent="0.25">
      <c r="A789" t="s">
        <v>801</v>
      </c>
      <c r="B789" t="s">
        <v>802</v>
      </c>
      <c r="C789" t="s">
        <v>26</v>
      </c>
      <c r="D789">
        <v>41.987499999999997</v>
      </c>
      <c r="E789">
        <v>-103.62334</v>
      </c>
      <c r="K789">
        <v>0</v>
      </c>
      <c r="O789" t="s">
        <v>34</v>
      </c>
      <c r="Q789" t="s">
        <v>21</v>
      </c>
    </row>
    <row r="790" spans="1:17" x14ac:dyDescent="0.25">
      <c r="A790" t="s">
        <v>87</v>
      </c>
      <c r="B790" t="s">
        <v>88</v>
      </c>
      <c r="C790" t="s">
        <v>26</v>
      </c>
      <c r="D790">
        <v>41.986669999999997</v>
      </c>
      <c r="E790">
        <v>-103.63223000000001</v>
      </c>
      <c r="K790">
        <v>0</v>
      </c>
      <c r="O790" t="s">
        <v>30</v>
      </c>
      <c r="P790" t="s">
        <v>54</v>
      </c>
      <c r="Q790" t="s">
        <v>21</v>
      </c>
    </row>
    <row r="791" spans="1:17" x14ac:dyDescent="0.25">
      <c r="A791" t="s">
        <v>32</v>
      </c>
      <c r="B791" t="s">
        <v>33</v>
      </c>
      <c r="C791" t="s">
        <v>26</v>
      </c>
      <c r="D791">
        <v>41.998049999999999</v>
      </c>
      <c r="E791">
        <v>-103.63278</v>
      </c>
      <c r="K791">
        <v>0</v>
      </c>
      <c r="O791" t="s">
        <v>34</v>
      </c>
      <c r="Q791" t="s">
        <v>21</v>
      </c>
    </row>
    <row r="792" spans="1:17" x14ac:dyDescent="0.25">
      <c r="A792" t="s">
        <v>3476</v>
      </c>
      <c r="B792" t="s">
        <v>3477</v>
      </c>
      <c r="C792" t="s">
        <v>1643</v>
      </c>
      <c r="D792">
        <v>38.512999999999998</v>
      </c>
      <c r="E792">
        <v>-122.104</v>
      </c>
      <c r="F792">
        <v>456</v>
      </c>
      <c r="G792" t="s">
        <v>1589</v>
      </c>
      <c r="K792">
        <v>0</v>
      </c>
      <c r="O792" t="s">
        <v>30</v>
      </c>
      <c r="Q792" t="s">
        <v>3478</v>
      </c>
    </row>
    <row r="793" spans="1:17" x14ac:dyDescent="0.25">
      <c r="A793" t="s">
        <v>1778</v>
      </c>
      <c r="B793" t="s">
        <v>1779</v>
      </c>
      <c r="C793" t="s">
        <v>1628</v>
      </c>
      <c r="D793">
        <v>46.697499999999998</v>
      </c>
      <c r="E793">
        <v>-117.65416</v>
      </c>
      <c r="F793">
        <v>192.02</v>
      </c>
      <c r="G793" t="s">
        <v>1589</v>
      </c>
      <c r="H793" s="1">
        <v>37365</v>
      </c>
      <c r="J793" t="s">
        <v>1577</v>
      </c>
      <c r="K793">
        <v>0</v>
      </c>
      <c r="L793" t="s">
        <v>1578</v>
      </c>
      <c r="O793" t="s">
        <v>151</v>
      </c>
      <c r="P793" t="s">
        <v>1585</v>
      </c>
      <c r="Q793" t="s">
        <v>1580</v>
      </c>
    </row>
    <row r="794" spans="1:17" x14ac:dyDescent="0.25">
      <c r="A794" t="s">
        <v>366</v>
      </c>
      <c r="B794" t="s">
        <v>367</v>
      </c>
      <c r="C794" t="s">
        <v>41</v>
      </c>
      <c r="D794">
        <v>46.061109999999999</v>
      </c>
      <c r="E794">
        <v>-114.23333</v>
      </c>
      <c r="K794">
        <v>0</v>
      </c>
      <c r="O794" t="s">
        <v>30</v>
      </c>
      <c r="Q794" t="s">
        <v>21</v>
      </c>
    </row>
    <row r="795" spans="1:17" x14ac:dyDescent="0.25">
      <c r="A795" t="s">
        <v>781</v>
      </c>
      <c r="B795" t="s">
        <v>782</v>
      </c>
      <c r="C795" t="s">
        <v>19</v>
      </c>
      <c r="D795">
        <v>39.063049999999997</v>
      </c>
      <c r="E795">
        <v>-106.40723</v>
      </c>
      <c r="K795">
        <v>0</v>
      </c>
      <c r="O795" t="s">
        <v>51</v>
      </c>
      <c r="Q795" t="s">
        <v>21</v>
      </c>
    </row>
    <row r="796" spans="1:17" x14ac:dyDescent="0.25">
      <c r="A796" t="s">
        <v>783</v>
      </c>
      <c r="B796" t="s">
        <v>784</v>
      </c>
      <c r="C796" t="s">
        <v>19</v>
      </c>
      <c r="D796">
        <v>39.07611</v>
      </c>
      <c r="E796">
        <v>-106.30972</v>
      </c>
      <c r="K796">
        <v>0</v>
      </c>
      <c r="O796" t="s">
        <v>51</v>
      </c>
      <c r="Q796" t="s">
        <v>21</v>
      </c>
    </row>
    <row r="797" spans="1:17" x14ac:dyDescent="0.25">
      <c r="A797" t="s">
        <v>803</v>
      </c>
      <c r="B797" t="s">
        <v>804</v>
      </c>
      <c r="C797" t="s">
        <v>19</v>
      </c>
      <c r="D797">
        <v>39.933329999999998</v>
      </c>
      <c r="E797">
        <v>-105.6</v>
      </c>
      <c r="F797">
        <v>9700</v>
      </c>
      <c r="K797">
        <v>0</v>
      </c>
      <c r="O797" t="s">
        <v>57</v>
      </c>
      <c r="Q797" t="s">
        <v>21</v>
      </c>
    </row>
    <row r="798" spans="1:17" x14ac:dyDescent="0.25">
      <c r="A798" t="s">
        <v>807</v>
      </c>
      <c r="B798" t="s">
        <v>808</v>
      </c>
      <c r="C798" t="s">
        <v>41</v>
      </c>
      <c r="D798">
        <v>48.318330000000003</v>
      </c>
      <c r="E798">
        <v>-111.09084</v>
      </c>
      <c r="K798">
        <v>0</v>
      </c>
      <c r="O798" t="s">
        <v>30</v>
      </c>
      <c r="Q798" t="s">
        <v>21</v>
      </c>
    </row>
    <row r="799" spans="1:17" x14ac:dyDescent="0.25">
      <c r="A799" t="s">
        <v>805</v>
      </c>
      <c r="B799" t="s">
        <v>806</v>
      </c>
      <c r="C799" t="s">
        <v>41</v>
      </c>
      <c r="D799">
        <v>48.318330000000003</v>
      </c>
      <c r="E799">
        <v>-111.09084</v>
      </c>
      <c r="K799">
        <v>0</v>
      </c>
      <c r="O799" t="s">
        <v>30</v>
      </c>
      <c r="P799" t="s">
        <v>324</v>
      </c>
      <c r="Q799" t="s">
        <v>21</v>
      </c>
    </row>
    <row r="800" spans="1:17" x14ac:dyDescent="0.25">
      <c r="A800" t="s">
        <v>498</v>
      </c>
      <c r="B800" t="s">
        <v>499</v>
      </c>
      <c r="C800" t="s">
        <v>19</v>
      </c>
      <c r="D800">
        <v>40.375</v>
      </c>
      <c r="E800">
        <v>-105.48833</v>
      </c>
      <c r="K800">
        <v>0</v>
      </c>
      <c r="O800" t="s">
        <v>30</v>
      </c>
      <c r="Q800" t="s">
        <v>21</v>
      </c>
    </row>
    <row r="801" spans="1:17" x14ac:dyDescent="0.25">
      <c r="A801" t="s">
        <v>496</v>
      </c>
      <c r="B801" t="s">
        <v>497</v>
      </c>
      <c r="C801" t="s">
        <v>19</v>
      </c>
      <c r="D801">
        <v>40.375</v>
      </c>
      <c r="E801">
        <v>-105.48833</v>
      </c>
      <c r="K801">
        <v>0</v>
      </c>
      <c r="O801" t="s">
        <v>30</v>
      </c>
      <c r="Q801" t="s">
        <v>21</v>
      </c>
    </row>
    <row r="802" spans="1:17" x14ac:dyDescent="0.25">
      <c r="A802" t="s">
        <v>2761</v>
      </c>
      <c r="B802" t="s">
        <v>2762</v>
      </c>
      <c r="C802" t="s">
        <v>19</v>
      </c>
      <c r="D802">
        <v>38.298900000000003</v>
      </c>
      <c r="E802">
        <v>-107.2294</v>
      </c>
      <c r="F802">
        <v>7827.66</v>
      </c>
      <c r="G802" t="s">
        <v>1576</v>
      </c>
      <c r="K802">
        <v>0</v>
      </c>
      <c r="O802" t="s">
        <v>51</v>
      </c>
      <c r="Q802" t="s">
        <v>2284</v>
      </c>
    </row>
    <row r="803" spans="1:17" x14ac:dyDescent="0.25">
      <c r="A803" t="s">
        <v>827</v>
      </c>
      <c r="B803" t="s">
        <v>828</v>
      </c>
      <c r="C803" t="s">
        <v>19</v>
      </c>
      <c r="D803">
        <v>39.26972</v>
      </c>
      <c r="E803">
        <v>-106.39444</v>
      </c>
      <c r="K803">
        <v>0</v>
      </c>
      <c r="O803" t="s">
        <v>51</v>
      </c>
      <c r="Q803" t="s">
        <v>21</v>
      </c>
    </row>
    <row r="804" spans="1:17" x14ac:dyDescent="0.25">
      <c r="A804" t="s">
        <v>809</v>
      </c>
      <c r="B804" t="s">
        <v>810</v>
      </c>
      <c r="C804" t="s">
        <v>19</v>
      </c>
      <c r="D804">
        <v>39.251390000000001</v>
      </c>
      <c r="E804">
        <v>-106.37444000000001</v>
      </c>
      <c r="K804">
        <v>0</v>
      </c>
      <c r="O804" t="s">
        <v>51</v>
      </c>
      <c r="Q804" t="s">
        <v>21</v>
      </c>
    </row>
    <row r="805" spans="1:17" x14ac:dyDescent="0.25">
      <c r="A805" t="s">
        <v>811</v>
      </c>
      <c r="B805" t="s">
        <v>812</v>
      </c>
      <c r="C805" t="s">
        <v>41</v>
      </c>
      <c r="D805">
        <v>48.266669999999998</v>
      </c>
      <c r="E805">
        <v>-112.2</v>
      </c>
      <c r="K805">
        <v>0</v>
      </c>
      <c r="O805" t="s">
        <v>30</v>
      </c>
      <c r="P805" t="s">
        <v>324</v>
      </c>
      <c r="Q805" t="s">
        <v>21</v>
      </c>
    </row>
    <row r="806" spans="1:17" x14ac:dyDescent="0.25">
      <c r="A806" t="s">
        <v>620</v>
      </c>
      <c r="B806" t="s">
        <v>621</v>
      </c>
      <c r="C806" t="s">
        <v>19</v>
      </c>
      <c r="D806">
        <v>40.181950000000001</v>
      </c>
      <c r="E806">
        <v>-105.87112</v>
      </c>
      <c r="K806">
        <v>0</v>
      </c>
      <c r="O806" t="s">
        <v>30</v>
      </c>
      <c r="P806" t="s">
        <v>38</v>
      </c>
      <c r="Q806" t="s">
        <v>21</v>
      </c>
    </row>
    <row r="807" spans="1:17" x14ac:dyDescent="0.25">
      <c r="A807" t="s">
        <v>2205</v>
      </c>
      <c r="B807" t="s">
        <v>2206</v>
      </c>
      <c r="C807" t="s">
        <v>1987</v>
      </c>
      <c r="D807">
        <v>34.306699999999999</v>
      </c>
      <c r="E807">
        <v>-114.13639999999999</v>
      </c>
      <c r="G807" t="s">
        <v>1576</v>
      </c>
      <c r="K807">
        <v>0</v>
      </c>
      <c r="O807" t="s">
        <v>30</v>
      </c>
      <c r="Q807" t="s">
        <v>1988</v>
      </c>
    </row>
    <row r="808" spans="1:17" x14ac:dyDescent="0.25">
      <c r="A808" t="s">
        <v>2139</v>
      </c>
      <c r="B808" t="s">
        <v>2140</v>
      </c>
      <c r="C808" t="s">
        <v>1987</v>
      </c>
      <c r="D808">
        <v>34.200000000000003</v>
      </c>
      <c r="E808">
        <v>-114.3</v>
      </c>
      <c r="G808" t="s">
        <v>1576</v>
      </c>
      <c r="K808">
        <v>0</v>
      </c>
      <c r="O808" t="s">
        <v>20</v>
      </c>
      <c r="Q808" t="s">
        <v>1988</v>
      </c>
    </row>
    <row r="809" spans="1:17" x14ac:dyDescent="0.25">
      <c r="A809" t="s">
        <v>680</v>
      </c>
      <c r="B809" t="s">
        <v>681</v>
      </c>
      <c r="C809" t="s">
        <v>19</v>
      </c>
      <c r="D809">
        <v>38.248330000000003</v>
      </c>
      <c r="E809">
        <v>-103.71333</v>
      </c>
      <c r="K809">
        <v>0</v>
      </c>
      <c r="O809" t="s">
        <v>30</v>
      </c>
      <c r="P809" t="s">
        <v>38</v>
      </c>
      <c r="Q809" t="s">
        <v>21</v>
      </c>
    </row>
    <row r="810" spans="1:17" x14ac:dyDescent="0.25">
      <c r="A810" t="s">
        <v>2765</v>
      </c>
      <c r="B810" t="s">
        <v>2766</v>
      </c>
      <c r="C810" t="s">
        <v>19</v>
      </c>
      <c r="D810">
        <v>40.416699999999999</v>
      </c>
      <c r="E810">
        <v>-105.8167</v>
      </c>
      <c r="F810">
        <v>10700</v>
      </c>
      <c r="G810" t="s">
        <v>1576</v>
      </c>
      <c r="K810">
        <v>0</v>
      </c>
      <c r="O810" t="s">
        <v>57</v>
      </c>
      <c r="Q810" t="s">
        <v>2284</v>
      </c>
    </row>
    <row r="811" spans="1:17" x14ac:dyDescent="0.25">
      <c r="A811" t="s">
        <v>825</v>
      </c>
      <c r="B811" t="s">
        <v>826</v>
      </c>
      <c r="C811" t="s">
        <v>19</v>
      </c>
      <c r="D811">
        <v>40.416670000000003</v>
      </c>
      <c r="E811">
        <v>-105.81667</v>
      </c>
      <c r="F811">
        <v>10680</v>
      </c>
      <c r="K811">
        <v>0</v>
      </c>
      <c r="O811" t="s">
        <v>57</v>
      </c>
      <c r="Q811" t="s">
        <v>21</v>
      </c>
    </row>
    <row r="812" spans="1:17" x14ac:dyDescent="0.25">
      <c r="A812" t="s">
        <v>2127</v>
      </c>
      <c r="B812" t="s">
        <v>2128</v>
      </c>
      <c r="C812" t="s">
        <v>1604</v>
      </c>
      <c r="D812">
        <v>36.015300000000003</v>
      </c>
      <c r="E812">
        <v>-114.73779999999999</v>
      </c>
      <c r="G812" t="s">
        <v>1589</v>
      </c>
      <c r="K812">
        <v>0</v>
      </c>
      <c r="O812" t="s">
        <v>30</v>
      </c>
      <c r="Q812" t="s">
        <v>1988</v>
      </c>
    </row>
    <row r="813" spans="1:17" x14ac:dyDescent="0.25">
      <c r="A813" t="s">
        <v>2157</v>
      </c>
      <c r="B813" t="s">
        <v>2158</v>
      </c>
      <c r="C813" t="s">
        <v>1987</v>
      </c>
      <c r="D813">
        <v>36.1</v>
      </c>
      <c r="E813">
        <v>-114.3</v>
      </c>
      <c r="G813" t="s">
        <v>1576</v>
      </c>
      <c r="K813">
        <v>0</v>
      </c>
      <c r="O813" t="s">
        <v>20</v>
      </c>
      <c r="Q813" t="s">
        <v>1988</v>
      </c>
    </row>
    <row r="814" spans="1:17" x14ac:dyDescent="0.25">
      <c r="A814" t="s">
        <v>2155</v>
      </c>
      <c r="B814" t="s">
        <v>2156</v>
      </c>
      <c r="C814" t="s">
        <v>1987</v>
      </c>
      <c r="D814">
        <v>35.5</v>
      </c>
      <c r="E814">
        <v>-114.7</v>
      </c>
      <c r="G814" t="s">
        <v>1576</v>
      </c>
      <c r="K814">
        <v>0</v>
      </c>
      <c r="O814" t="s">
        <v>20</v>
      </c>
      <c r="Q814" t="s">
        <v>1988</v>
      </c>
    </row>
    <row r="815" spans="1:17" x14ac:dyDescent="0.25">
      <c r="A815" t="s">
        <v>2153</v>
      </c>
      <c r="B815" t="s">
        <v>2154</v>
      </c>
      <c r="C815" t="s">
        <v>1604</v>
      </c>
      <c r="D815">
        <v>36.049999999999997</v>
      </c>
      <c r="E815">
        <v>-114.8</v>
      </c>
      <c r="G815" t="s">
        <v>1589</v>
      </c>
      <c r="K815">
        <v>0</v>
      </c>
      <c r="O815" t="s">
        <v>20</v>
      </c>
      <c r="Q815" t="s">
        <v>1988</v>
      </c>
    </row>
    <row r="816" spans="1:17" x14ac:dyDescent="0.25">
      <c r="A816" t="s">
        <v>2151</v>
      </c>
      <c r="B816" t="s">
        <v>2152</v>
      </c>
      <c r="C816" t="s">
        <v>1604</v>
      </c>
      <c r="D816">
        <v>35.4</v>
      </c>
      <c r="E816">
        <v>-114.75</v>
      </c>
      <c r="G816" t="s">
        <v>1589</v>
      </c>
      <c r="K816">
        <v>0</v>
      </c>
      <c r="O816" t="s">
        <v>20</v>
      </c>
      <c r="Q816" t="s">
        <v>1988</v>
      </c>
    </row>
    <row r="817" spans="1:17" x14ac:dyDescent="0.25">
      <c r="A817" t="s">
        <v>932</v>
      </c>
      <c r="B817" t="s">
        <v>933</v>
      </c>
      <c r="C817" t="s">
        <v>26</v>
      </c>
      <c r="D817">
        <v>41.948610000000002</v>
      </c>
      <c r="E817">
        <v>-103.515</v>
      </c>
      <c r="K817">
        <v>0</v>
      </c>
      <c r="O817" t="s">
        <v>34</v>
      </c>
      <c r="Q817" t="s">
        <v>21</v>
      </c>
    </row>
    <row r="818" spans="1:17" x14ac:dyDescent="0.25">
      <c r="A818" t="s">
        <v>946</v>
      </c>
      <c r="B818" t="s">
        <v>947</v>
      </c>
      <c r="C818" t="s">
        <v>26</v>
      </c>
      <c r="D818">
        <v>41.916110000000003</v>
      </c>
      <c r="E818">
        <v>-103.49194</v>
      </c>
      <c r="K818">
        <v>0</v>
      </c>
      <c r="O818" t="s">
        <v>34</v>
      </c>
      <c r="Q818" t="s">
        <v>21</v>
      </c>
    </row>
    <row r="819" spans="1:17" x14ac:dyDescent="0.25">
      <c r="A819" t="s">
        <v>835</v>
      </c>
      <c r="B819" t="s">
        <v>836</v>
      </c>
      <c r="C819" t="s">
        <v>26</v>
      </c>
      <c r="D819">
        <v>41.918329999999997</v>
      </c>
      <c r="E819">
        <v>-103.48860999999999</v>
      </c>
      <c r="K819">
        <v>0</v>
      </c>
      <c r="O819" t="s">
        <v>30</v>
      </c>
      <c r="P819" t="s">
        <v>54</v>
      </c>
      <c r="Q819" t="s">
        <v>21</v>
      </c>
    </row>
    <row r="820" spans="1:17" x14ac:dyDescent="0.25">
      <c r="A820" t="s">
        <v>2063</v>
      </c>
      <c r="B820" t="s">
        <v>2064</v>
      </c>
      <c r="C820" t="s">
        <v>1987</v>
      </c>
      <c r="D820">
        <v>35.2042</v>
      </c>
      <c r="E820">
        <v>-114.58580000000001</v>
      </c>
      <c r="G820" t="s">
        <v>1576</v>
      </c>
      <c r="K820">
        <v>0</v>
      </c>
      <c r="O820" t="s">
        <v>30</v>
      </c>
      <c r="Q820" t="s">
        <v>1988</v>
      </c>
    </row>
    <row r="821" spans="1:17" x14ac:dyDescent="0.25">
      <c r="A821" t="s">
        <v>992</v>
      </c>
      <c r="B821" t="s">
        <v>993</v>
      </c>
      <c r="C821" t="s">
        <v>86</v>
      </c>
      <c r="D821">
        <v>31.38861</v>
      </c>
      <c r="E821">
        <v>-100.47806</v>
      </c>
      <c r="K821">
        <v>0</v>
      </c>
      <c r="O821" t="s">
        <v>30</v>
      </c>
      <c r="P821" t="s">
        <v>48</v>
      </c>
      <c r="Q821" t="s">
        <v>21</v>
      </c>
    </row>
    <row r="822" spans="1:17" x14ac:dyDescent="0.25">
      <c r="A822" t="s">
        <v>3504</v>
      </c>
      <c r="B822" t="s">
        <v>3505</v>
      </c>
      <c r="C822" t="s">
        <v>1643</v>
      </c>
      <c r="D822">
        <v>38.65</v>
      </c>
      <c r="E822">
        <v>-121.18300000000001</v>
      </c>
      <c r="F822">
        <v>132</v>
      </c>
      <c r="G822" t="s">
        <v>1589</v>
      </c>
      <c r="K822">
        <v>0</v>
      </c>
      <c r="O822" t="s">
        <v>30</v>
      </c>
      <c r="Q822" t="s">
        <v>3478</v>
      </c>
    </row>
    <row r="823" spans="1:17" x14ac:dyDescent="0.25">
      <c r="A823" t="s">
        <v>2767</v>
      </c>
      <c r="B823" t="s">
        <v>2768</v>
      </c>
      <c r="C823" t="s">
        <v>1987</v>
      </c>
      <c r="D823">
        <v>36.562100000000001</v>
      </c>
      <c r="E823">
        <v>-111.2852</v>
      </c>
      <c r="F823">
        <v>3700</v>
      </c>
      <c r="G823" t="s">
        <v>1576</v>
      </c>
      <c r="K823">
        <v>0</v>
      </c>
      <c r="O823" t="s">
        <v>30</v>
      </c>
      <c r="Q823" t="s">
        <v>2284</v>
      </c>
    </row>
    <row r="824" spans="1:17" x14ac:dyDescent="0.25">
      <c r="A824" t="s">
        <v>1235</v>
      </c>
      <c r="B824" t="s">
        <v>1236</v>
      </c>
      <c r="C824" t="s">
        <v>41</v>
      </c>
      <c r="D824">
        <v>47.676670000000001</v>
      </c>
      <c r="E824">
        <v>-112.49666999999999</v>
      </c>
      <c r="K824">
        <v>0</v>
      </c>
      <c r="O824" t="s">
        <v>30</v>
      </c>
      <c r="Q824" t="s">
        <v>21</v>
      </c>
    </row>
    <row r="825" spans="1:17" x14ac:dyDescent="0.25">
      <c r="A825" t="s">
        <v>1265</v>
      </c>
      <c r="B825" t="s">
        <v>1266</v>
      </c>
      <c r="C825" t="s">
        <v>41</v>
      </c>
      <c r="D825">
        <v>48.828330000000001</v>
      </c>
      <c r="E825">
        <v>-113.52112</v>
      </c>
      <c r="K825">
        <v>0</v>
      </c>
      <c r="O825" t="s">
        <v>30</v>
      </c>
      <c r="P825" t="s">
        <v>324</v>
      </c>
      <c r="Q825" t="s">
        <v>21</v>
      </c>
    </row>
    <row r="826" spans="1:17" x14ac:dyDescent="0.25">
      <c r="A826" t="s">
        <v>3305</v>
      </c>
      <c r="B826" t="s">
        <v>3306</v>
      </c>
      <c r="C826" t="s">
        <v>2283</v>
      </c>
      <c r="D826">
        <v>34.6083</v>
      </c>
      <c r="E826">
        <v>-104.3844</v>
      </c>
      <c r="F826">
        <v>4297</v>
      </c>
      <c r="G826" t="s">
        <v>1576</v>
      </c>
      <c r="K826">
        <v>0</v>
      </c>
      <c r="O826" t="s">
        <v>30</v>
      </c>
      <c r="Q826" t="s">
        <v>2284</v>
      </c>
    </row>
    <row r="827" spans="1:17" x14ac:dyDescent="0.25">
      <c r="A827" t="s">
        <v>849</v>
      </c>
      <c r="B827" t="s">
        <v>850</v>
      </c>
      <c r="C827" t="s">
        <v>483</v>
      </c>
      <c r="D827">
        <v>46.59666</v>
      </c>
      <c r="E827">
        <v>-101.80945</v>
      </c>
      <c r="K827">
        <v>0</v>
      </c>
      <c r="O827" t="s">
        <v>30</v>
      </c>
      <c r="P827" t="s">
        <v>31</v>
      </c>
      <c r="Q827" t="s">
        <v>21</v>
      </c>
    </row>
    <row r="828" spans="1:17" x14ac:dyDescent="0.25">
      <c r="A828" t="s">
        <v>829</v>
      </c>
      <c r="B828" t="s">
        <v>830</v>
      </c>
      <c r="C828" t="s">
        <v>37</v>
      </c>
      <c r="D828">
        <v>43.231670000000001</v>
      </c>
      <c r="E828">
        <v>-108.89444</v>
      </c>
      <c r="K828">
        <v>0</v>
      </c>
      <c r="O828" t="s">
        <v>34</v>
      </c>
      <c r="Q828" t="s">
        <v>21</v>
      </c>
    </row>
    <row r="829" spans="1:17" x14ac:dyDescent="0.25">
      <c r="A829" t="s">
        <v>2759</v>
      </c>
      <c r="B829" t="s">
        <v>2760</v>
      </c>
      <c r="C829" t="s">
        <v>1622</v>
      </c>
      <c r="D829">
        <v>40.6</v>
      </c>
      <c r="E829">
        <v>-110.4333</v>
      </c>
      <c r="F829">
        <v>10100</v>
      </c>
      <c r="G829" t="s">
        <v>1576</v>
      </c>
      <c r="K829">
        <v>0</v>
      </c>
      <c r="O829" t="s">
        <v>57</v>
      </c>
      <c r="Q829" t="s">
        <v>2284</v>
      </c>
    </row>
    <row r="830" spans="1:17" x14ac:dyDescent="0.25">
      <c r="A830" t="s">
        <v>2763</v>
      </c>
      <c r="B830" t="s">
        <v>2764</v>
      </c>
      <c r="C830" t="s">
        <v>1622</v>
      </c>
      <c r="D830">
        <v>40.75</v>
      </c>
      <c r="E830">
        <v>-110.61669999999999</v>
      </c>
      <c r="F830">
        <v>10900</v>
      </c>
      <c r="G830" t="s">
        <v>1576</v>
      </c>
      <c r="K830">
        <v>0</v>
      </c>
      <c r="O830" t="s">
        <v>57</v>
      </c>
      <c r="Q830" t="s">
        <v>2284</v>
      </c>
    </row>
    <row r="831" spans="1:17" x14ac:dyDescent="0.25">
      <c r="A831" t="s">
        <v>857</v>
      </c>
      <c r="B831" t="s">
        <v>858</v>
      </c>
      <c r="C831" t="s">
        <v>41</v>
      </c>
      <c r="D831">
        <v>44.583329999999997</v>
      </c>
      <c r="E831">
        <v>-111.83334000000001</v>
      </c>
      <c r="F831">
        <v>7400</v>
      </c>
      <c r="K831">
        <v>0</v>
      </c>
      <c r="O831" t="s">
        <v>57</v>
      </c>
      <c r="Q831" t="s">
        <v>21</v>
      </c>
    </row>
    <row r="832" spans="1:17" x14ac:dyDescent="0.25">
      <c r="A832" t="s">
        <v>1774</v>
      </c>
      <c r="B832" t="s">
        <v>1775</v>
      </c>
      <c r="C832" t="s">
        <v>1588</v>
      </c>
      <c r="D832">
        <v>42.122219999999999</v>
      </c>
      <c r="E832">
        <v>-120.52305</v>
      </c>
      <c r="F832">
        <v>1453.9</v>
      </c>
      <c r="G832" t="s">
        <v>1589</v>
      </c>
      <c r="H832" s="1">
        <v>32234</v>
      </c>
      <c r="J832" t="s">
        <v>1577</v>
      </c>
      <c r="K832">
        <v>0</v>
      </c>
      <c r="L832" t="s">
        <v>1578</v>
      </c>
      <c r="O832" t="s">
        <v>151</v>
      </c>
      <c r="P832" t="s">
        <v>1585</v>
      </c>
      <c r="Q832" t="s">
        <v>1580</v>
      </c>
    </row>
    <row r="833" spans="1:17" x14ac:dyDescent="0.25">
      <c r="A833" t="s">
        <v>845</v>
      </c>
      <c r="B833" t="s">
        <v>846</v>
      </c>
      <c r="C833" t="s">
        <v>37</v>
      </c>
      <c r="D833">
        <v>42.433329999999998</v>
      </c>
      <c r="E833">
        <v>-105.86667</v>
      </c>
      <c r="F833">
        <v>8375</v>
      </c>
      <c r="K833">
        <v>0</v>
      </c>
      <c r="O833" t="s">
        <v>57</v>
      </c>
      <c r="Q833" t="s">
        <v>21</v>
      </c>
    </row>
    <row r="834" spans="1:17" x14ac:dyDescent="0.25">
      <c r="A834" t="s">
        <v>526</v>
      </c>
      <c r="B834" t="s">
        <v>527</v>
      </c>
      <c r="C834" t="s">
        <v>37</v>
      </c>
      <c r="D834">
        <v>42.200560000000003</v>
      </c>
      <c r="E834">
        <v>-104.53778</v>
      </c>
      <c r="K834">
        <v>0</v>
      </c>
      <c r="O834" t="s">
        <v>51</v>
      </c>
      <c r="Q834" t="s">
        <v>21</v>
      </c>
    </row>
    <row r="835" spans="1:17" x14ac:dyDescent="0.25">
      <c r="A835" t="s">
        <v>799</v>
      </c>
      <c r="B835" t="s">
        <v>800</v>
      </c>
      <c r="C835" t="s">
        <v>37</v>
      </c>
      <c r="D835">
        <v>42.583329999999997</v>
      </c>
      <c r="E835">
        <v>-109.00139</v>
      </c>
      <c r="F835">
        <v>9000</v>
      </c>
      <c r="K835">
        <v>0</v>
      </c>
      <c r="O835" t="s">
        <v>57</v>
      </c>
      <c r="Q835" t="s">
        <v>21</v>
      </c>
    </row>
    <row r="836" spans="1:17" x14ac:dyDescent="0.25">
      <c r="A836" t="s">
        <v>2141</v>
      </c>
      <c r="B836" t="s">
        <v>2142</v>
      </c>
      <c r="C836" t="s">
        <v>1604</v>
      </c>
      <c r="D836">
        <v>36.049999999999997</v>
      </c>
      <c r="E836">
        <v>-114.8</v>
      </c>
      <c r="G836" t="s">
        <v>1589</v>
      </c>
      <c r="K836">
        <v>0</v>
      </c>
      <c r="O836" t="s">
        <v>20</v>
      </c>
      <c r="Q836" t="s">
        <v>1988</v>
      </c>
    </row>
    <row r="837" spans="1:17" x14ac:dyDescent="0.25">
      <c r="A837" t="s">
        <v>2143</v>
      </c>
      <c r="B837" t="s">
        <v>2144</v>
      </c>
      <c r="C837" t="s">
        <v>1604</v>
      </c>
      <c r="D837">
        <v>36.1</v>
      </c>
      <c r="E837">
        <v>-114.94</v>
      </c>
      <c r="G837" t="s">
        <v>1589</v>
      </c>
      <c r="K837">
        <v>0</v>
      </c>
      <c r="O837" t="s">
        <v>34</v>
      </c>
      <c r="Q837" t="s">
        <v>1988</v>
      </c>
    </row>
    <row r="838" spans="1:17" x14ac:dyDescent="0.25">
      <c r="A838" t="s">
        <v>2145</v>
      </c>
      <c r="B838" t="s">
        <v>2146</v>
      </c>
      <c r="C838" t="s">
        <v>1604</v>
      </c>
      <c r="D838">
        <v>35.090299999999999</v>
      </c>
      <c r="E838">
        <v>-115.0086</v>
      </c>
      <c r="F838">
        <v>1540</v>
      </c>
      <c r="G838" t="s">
        <v>1589</v>
      </c>
      <c r="K838">
        <v>0</v>
      </c>
      <c r="O838" t="s">
        <v>34</v>
      </c>
      <c r="Q838" t="s">
        <v>1988</v>
      </c>
    </row>
    <row r="839" spans="1:17" x14ac:dyDescent="0.25">
      <c r="A839" t="s">
        <v>2777</v>
      </c>
      <c r="B839" t="s">
        <v>2778</v>
      </c>
      <c r="C839" t="s">
        <v>1622</v>
      </c>
      <c r="D839">
        <v>38.4833</v>
      </c>
      <c r="E839">
        <v>-109.2667</v>
      </c>
      <c r="F839">
        <v>9850</v>
      </c>
      <c r="G839" t="s">
        <v>1576</v>
      </c>
      <c r="K839">
        <v>0</v>
      </c>
      <c r="O839" t="s">
        <v>57</v>
      </c>
      <c r="Q839" t="s">
        <v>2284</v>
      </c>
    </row>
    <row r="840" spans="1:17" x14ac:dyDescent="0.25">
      <c r="A840" t="s">
        <v>3456</v>
      </c>
      <c r="B840" t="s">
        <v>3457</v>
      </c>
      <c r="C840" t="s">
        <v>1643</v>
      </c>
      <c r="D840">
        <v>32.740699999999997</v>
      </c>
      <c r="E840">
        <v>-114.8867</v>
      </c>
      <c r="F840">
        <v>173</v>
      </c>
      <c r="G840" t="s">
        <v>1589</v>
      </c>
      <c r="K840">
        <v>0</v>
      </c>
      <c r="O840" t="s">
        <v>34</v>
      </c>
      <c r="Q840" t="s">
        <v>3441</v>
      </c>
    </row>
    <row r="841" spans="1:17" x14ac:dyDescent="0.25">
      <c r="A841" t="s">
        <v>793</v>
      </c>
      <c r="B841" t="s">
        <v>794</v>
      </c>
      <c r="C841" t="s">
        <v>37</v>
      </c>
      <c r="D841">
        <v>43.105829999999997</v>
      </c>
      <c r="E841">
        <v>-108.55611</v>
      </c>
      <c r="K841">
        <v>0</v>
      </c>
      <c r="O841" t="s">
        <v>34</v>
      </c>
      <c r="Q841" t="s">
        <v>21</v>
      </c>
    </row>
    <row r="842" spans="1:17" x14ac:dyDescent="0.25">
      <c r="A842" t="s">
        <v>1460</v>
      </c>
      <c r="B842" t="s">
        <v>1461</v>
      </c>
      <c r="C842" t="s">
        <v>86</v>
      </c>
      <c r="D842">
        <v>35.433329999999998</v>
      </c>
      <c r="E842">
        <v>-100.8</v>
      </c>
      <c r="F842">
        <v>2810</v>
      </c>
      <c r="K842">
        <v>0</v>
      </c>
      <c r="O842" t="s">
        <v>118</v>
      </c>
      <c r="Q842" t="s">
        <v>21</v>
      </c>
    </row>
    <row r="843" spans="1:17" x14ac:dyDescent="0.25">
      <c r="A843" t="s">
        <v>817</v>
      </c>
      <c r="B843" t="s">
        <v>818</v>
      </c>
      <c r="C843" t="s">
        <v>37</v>
      </c>
      <c r="D843">
        <v>43.026110000000003</v>
      </c>
      <c r="E843">
        <v>-108.52</v>
      </c>
      <c r="K843">
        <v>0</v>
      </c>
      <c r="O843" t="s">
        <v>34</v>
      </c>
      <c r="Q843" t="s">
        <v>21</v>
      </c>
    </row>
    <row r="844" spans="1:17" x14ac:dyDescent="0.25">
      <c r="A844" t="s">
        <v>1780</v>
      </c>
      <c r="B844" t="s">
        <v>1781</v>
      </c>
      <c r="C844" t="s">
        <v>1628</v>
      </c>
      <c r="D844">
        <v>46.205269999999999</v>
      </c>
      <c r="E844">
        <v>-118.93611</v>
      </c>
      <c r="F844">
        <v>176.78</v>
      </c>
      <c r="G844" t="s">
        <v>1589</v>
      </c>
      <c r="H844" s="1">
        <v>31594</v>
      </c>
      <c r="J844" t="s">
        <v>1577</v>
      </c>
      <c r="K844">
        <v>0</v>
      </c>
      <c r="L844" t="s">
        <v>1578</v>
      </c>
      <c r="O844" t="s">
        <v>151</v>
      </c>
      <c r="P844" t="s">
        <v>1585</v>
      </c>
      <c r="Q844" t="s">
        <v>1580</v>
      </c>
    </row>
    <row r="845" spans="1:17" x14ac:dyDescent="0.25">
      <c r="A845" t="s">
        <v>831</v>
      </c>
      <c r="B845" t="s">
        <v>832</v>
      </c>
      <c r="C845" t="s">
        <v>41</v>
      </c>
      <c r="D845">
        <v>44.983330000000002</v>
      </c>
      <c r="E845">
        <v>-113.43333</v>
      </c>
      <c r="F845">
        <v>8100</v>
      </c>
      <c r="K845">
        <v>0</v>
      </c>
      <c r="O845" t="s">
        <v>57</v>
      </c>
      <c r="Q845" t="s">
        <v>21</v>
      </c>
    </row>
    <row r="846" spans="1:17" x14ac:dyDescent="0.25">
      <c r="A846" t="s">
        <v>2779</v>
      </c>
      <c r="B846" t="s">
        <v>2780</v>
      </c>
      <c r="C846" t="s">
        <v>19</v>
      </c>
      <c r="D846">
        <v>37.229999999999997</v>
      </c>
      <c r="E846">
        <v>-107.39</v>
      </c>
      <c r="F846">
        <v>8148</v>
      </c>
      <c r="G846" t="s">
        <v>1576</v>
      </c>
      <c r="K846">
        <v>0</v>
      </c>
      <c r="O846" t="s">
        <v>30</v>
      </c>
      <c r="Q846" t="s">
        <v>2284</v>
      </c>
    </row>
    <row r="847" spans="1:17" x14ac:dyDescent="0.25">
      <c r="A847" t="s">
        <v>2781</v>
      </c>
      <c r="B847" t="s">
        <v>2782</v>
      </c>
      <c r="C847" t="s">
        <v>19</v>
      </c>
      <c r="D847">
        <v>38.101700000000001</v>
      </c>
      <c r="E847">
        <v>-107.9228</v>
      </c>
      <c r="F847">
        <v>8700</v>
      </c>
      <c r="G847" t="s">
        <v>1576</v>
      </c>
      <c r="K847">
        <v>0</v>
      </c>
      <c r="O847" t="s">
        <v>51</v>
      </c>
      <c r="Q847" t="s">
        <v>2284</v>
      </c>
    </row>
    <row r="848" spans="1:17" x14ac:dyDescent="0.25">
      <c r="A848" t="s">
        <v>3498</v>
      </c>
      <c r="B848" t="s">
        <v>3499</v>
      </c>
      <c r="C848" t="s">
        <v>1643</v>
      </c>
      <c r="D848">
        <v>40.726999999999997</v>
      </c>
      <c r="E848">
        <v>-122.79300000000001</v>
      </c>
      <c r="F848">
        <v>1870</v>
      </c>
      <c r="G848" t="s">
        <v>1589</v>
      </c>
      <c r="K848">
        <v>0</v>
      </c>
      <c r="O848" t="s">
        <v>30</v>
      </c>
      <c r="Q848" t="s">
        <v>3478</v>
      </c>
    </row>
    <row r="849" spans="1:17" x14ac:dyDescent="0.25">
      <c r="A849" t="s">
        <v>1786</v>
      </c>
      <c r="B849" t="s">
        <v>1787</v>
      </c>
      <c r="C849" t="s">
        <v>1628</v>
      </c>
      <c r="D849">
        <v>47.665329999999997</v>
      </c>
      <c r="E849">
        <v>-117.087208</v>
      </c>
      <c r="F849">
        <v>632</v>
      </c>
      <c r="G849" t="s">
        <v>1589</v>
      </c>
      <c r="H849" s="1">
        <v>41961</v>
      </c>
      <c r="J849" t="s">
        <v>1577</v>
      </c>
      <c r="K849">
        <v>0</v>
      </c>
      <c r="L849" t="s">
        <v>1578</v>
      </c>
      <c r="O849" t="s">
        <v>151</v>
      </c>
      <c r="P849" t="s">
        <v>1585</v>
      </c>
      <c r="Q849" t="s">
        <v>1580</v>
      </c>
    </row>
    <row r="850" spans="1:17" x14ac:dyDescent="0.25">
      <c r="A850" t="s">
        <v>795</v>
      </c>
      <c r="B850" t="s">
        <v>796</v>
      </c>
      <c r="C850" t="s">
        <v>41</v>
      </c>
      <c r="D850">
        <v>45.5</v>
      </c>
      <c r="E850">
        <v>-110.96666999999999</v>
      </c>
      <c r="F850">
        <v>6860</v>
      </c>
      <c r="K850">
        <v>0</v>
      </c>
      <c r="O850" t="s">
        <v>57</v>
      </c>
      <c r="Q850" t="s">
        <v>21</v>
      </c>
    </row>
    <row r="851" spans="1:17" x14ac:dyDescent="0.25">
      <c r="A851" t="s">
        <v>2783</v>
      </c>
      <c r="B851" t="s">
        <v>2784</v>
      </c>
      <c r="C851" t="s">
        <v>19</v>
      </c>
      <c r="D851">
        <v>37.603900000000003</v>
      </c>
      <c r="E851">
        <v>-107.8931</v>
      </c>
      <c r="F851">
        <v>6533.95</v>
      </c>
      <c r="G851" t="s">
        <v>1576</v>
      </c>
      <c r="K851">
        <v>0</v>
      </c>
      <c r="O851" t="s">
        <v>51</v>
      </c>
      <c r="Q851" t="s">
        <v>2284</v>
      </c>
    </row>
    <row r="852" spans="1:17" x14ac:dyDescent="0.25">
      <c r="A852" t="s">
        <v>2785</v>
      </c>
      <c r="B852" t="s">
        <v>2786</v>
      </c>
      <c r="C852" t="s">
        <v>1622</v>
      </c>
      <c r="D852">
        <v>40.716700000000003</v>
      </c>
      <c r="E852">
        <v>-110.75</v>
      </c>
      <c r="F852">
        <v>10500</v>
      </c>
      <c r="G852" t="s">
        <v>1576</v>
      </c>
      <c r="K852">
        <v>0</v>
      </c>
      <c r="O852" t="s">
        <v>57</v>
      </c>
      <c r="Q852" t="s">
        <v>2284</v>
      </c>
    </row>
    <row r="853" spans="1:17" x14ac:dyDescent="0.25">
      <c r="A853" t="s">
        <v>2787</v>
      </c>
      <c r="B853" t="s">
        <v>2788</v>
      </c>
      <c r="C853" t="s">
        <v>1622</v>
      </c>
      <c r="D853">
        <v>41.357999999999997</v>
      </c>
      <c r="E853">
        <v>-111.4875</v>
      </c>
      <c r="F853">
        <v>8215</v>
      </c>
      <c r="G853" t="s">
        <v>1576</v>
      </c>
      <c r="K853">
        <v>0</v>
      </c>
      <c r="O853" t="s">
        <v>57</v>
      </c>
      <c r="Q853" t="s">
        <v>2284</v>
      </c>
    </row>
    <row r="854" spans="1:17" x14ac:dyDescent="0.25">
      <c r="A854" t="s">
        <v>2789</v>
      </c>
      <c r="B854" t="s">
        <v>2790</v>
      </c>
      <c r="C854" t="s">
        <v>1622</v>
      </c>
      <c r="D854">
        <v>40.866700000000002</v>
      </c>
      <c r="E854">
        <v>-110.8</v>
      </c>
      <c r="F854">
        <v>9050</v>
      </c>
      <c r="G854" t="s">
        <v>1576</v>
      </c>
      <c r="K854">
        <v>0</v>
      </c>
      <c r="O854" t="s">
        <v>57</v>
      </c>
      <c r="Q854" t="s">
        <v>2284</v>
      </c>
    </row>
    <row r="855" spans="1:17" x14ac:dyDescent="0.25">
      <c r="A855" t="s">
        <v>2791</v>
      </c>
      <c r="B855" t="s">
        <v>2792</v>
      </c>
      <c r="C855" t="s">
        <v>19</v>
      </c>
      <c r="D855">
        <v>37.383299999999998</v>
      </c>
      <c r="E855">
        <v>-106.5333</v>
      </c>
      <c r="F855">
        <v>11000</v>
      </c>
      <c r="G855" t="s">
        <v>1576</v>
      </c>
      <c r="K855">
        <v>0</v>
      </c>
      <c r="O855" t="s">
        <v>57</v>
      </c>
      <c r="Q855" t="s">
        <v>2284</v>
      </c>
    </row>
    <row r="856" spans="1:17" x14ac:dyDescent="0.25">
      <c r="A856" t="s">
        <v>821</v>
      </c>
      <c r="B856" t="s">
        <v>822</v>
      </c>
      <c r="C856" t="s">
        <v>41</v>
      </c>
      <c r="D856">
        <v>44.656109999999998</v>
      </c>
      <c r="E856">
        <v>-112.37056</v>
      </c>
      <c r="K856">
        <v>0</v>
      </c>
      <c r="O856" t="s">
        <v>30</v>
      </c>
      <c r="P856" t="s">
        <v>324</v>
      </c>
      <c r="Q856" t="s">
        <v>21</v>
      </c>
    </row>
    <row r="857" spans="1:17" x14ac:dyDescent="0.25">
      <c r="A857" t="s">
        <v>2793</v>
      </c>
      <c r="B857" t="s">
        <v>2794</v>
      </c>
      <c r="C857" t="s">
        <v>19</v>
      </c>
      <c r="D857">
        <v>37.678100000000001</v>
      </c>
      <c r="E857">
        <v>-107.7503</v>
      </c>
      <c r="F857">
        <v>9050</v>
      </c>
      <c r="G857" t="s">
        <v>1576</v>
      </c>
      <c r="K857">
        <v>0</v>
      </c>
      <c r="O857" t="s">
        <v>51</v>
      </c>
      <c r="Q857" t="s">
        <v>2284</v>
      </c>
    </row>
    <row r="858" spans="1:17" x14ac:dyDescent="0.25">
      <c r="A858" t="s">
        <v>823</v>
      </c>
      <c r="B858" t="s">
        <v>824</v>
      </c>
      <c r="C858" t="s">
        <v>19</v>
      </c>
      <c r="D858">
        <v>39.068890000000003</v>
      </c>
      <c r="E858">
        <v>-106.61028</v>
      </c>
      <c r="K858">
        <v>0</v>
      </c>
      <c r="O858" t="s">
        <v>51</v>
      </c>
      <c r="Q858" t="s">
        <v>21</v>
      </c>
    </row>
    <row r="859" spans="1:17" x14ac:dyDescent="0.25">
      <c r="A859" t="s">
        <v>1788</v>
      </c>
      <c r="B859" t="s">
        <v>1789</v>
      </c>
      <c r="C859" t="s">
        <v>1628</v>
      </c>
      <c r="D859">
        <v>46.867220000000003</v>
      </c>
      <c r="E859">
        <v>-118.73944</v>
      </c>
      <c r="F859">
        <v>449.58</v>
      </c>
      <c r="G859" t="s">
        <v>1589</v>
      </c>
      <c r="H859" s="1">
        <v>30437</v>
      </c>
      <c r="J859" t="s">
        <v>1577</v>
      </c>
      <c r="K859">
        <v>0</v>
      </c>
      <c r="L859" t="s">
        <v>1578</v>
      </c>
      <c r="O859" t="s">
        <v>151</v>
      </c>
      <c r="P859" t="s">
        <v>1585</v>
      </c>
      <c r="Q859" t="s">
        <v>1580</v>
      </c>
    </row>
    <row r="860" spans="1:17" x14ac:dyDescent="0.25">
      <c r="A860" t="s">
        <v>2795</v>
      </c>
      <c r="B860" t="s">
        <v>2796</v>
      </c>
      <c r="C860" t="s">
        <v>1622</v>
      </c>
      <c r="D860">
        <v>41.4</v>
      </c>
      <c r="E860">
        <v>-111.8167</v>
      </c>
      <c r="F860">
        <v>6550</v>
      </c>
      <c r="G860" t="s">
        <v>1576</v>
      </c>
      <c r="K860">
        <v>0</v>
      </c>
      <c r="O860" t="s">
        <v>57</v>
      </c>
      <c r="Q860" t="s">
        <v>2284</v>
      </c>
    </row>
    <row r="861" spans="1:17" x14ac:dyDescent="0.25">
      <c r="A861" t="s">
        <v>789</v>
      </c>
      <c r="B861" t="s">
        <v>790</v>
      </c>
      <c r="C861" t="s">
        <v>41</v>
      </c>
      <c r="D861">
        <v>45.00694</v>
      </c>
      <c r="E861">
        <v>-107.61444</v>
      </c>
      <c r="K861">
        <v>0</v>
      </c>
      <c r="O861" t="s">
        <v>51</v>
      </c>
      <c r="Q861" t="s">
        <v>21</v>
      </c>
    </row>
    <row r="862" spans="1:17" x14ac:dyDescent="0.25">
      <c r="A862" t="s">
        <v>787</v>
      </c>
      <c r="B862" t="s">
        <v>788</v>
      </c>
      <c r="C862" t="s">
        <v>41</v>
      </c>
      <c r="D862">
        <v>45.73583</v>
      </c>
      <c r="E862">
        <v>-107.55667</v>
      </c>
      <c r="K862">
        <v>0</v>
      </c>
      <c r="O862" t="s">
        <v>51</v>
      </c>
      <c r="Q862" t="s">
        <v>21</v>
      </c>
    </row>
    <row r="863" spans="1:17" x14ac:dyDescent="0.25">
      <c r="A863" t="s">
        <v>2147</v>
      </c>
      <c r="B863" t="s">
        <v>2148</v>
      </c>
      <c r="C863" t="s">
        <v>1987</v>
      </c>
      <c r="D863">
        <v>36.195300000000003</v>
      </c>
      <c r="E863">
        <v>-111.7764</v>
      </c>
      <c r="G863" t="s">
        <v>1576</v>
      </c>
      <c r="K863">
        <v>0</v>
      </c>
      <c r="O863" t="s">
        <v>51</v>
      </c>
      <c r="Q863" t="s">
        <v>1988</v>
      </c>
    </row>
    <row r="864" spans="1:17" x14ac:dyDescent="0.25">
      <c r="A864" t="s">
        <v>2149</v>
      </c>
      <c r="B864" t="s">
        <v>2150</v>
      </c>
      <c r="C864" t="s">
        <v>1987</v>
      </c>
      <c r="D864">
        <v>35.926400000000001</v>
      </c>
      <c r="E864">
        <v>-111.5667</v>
      </c>
      <c r="G864" t="s">
        <v>1576</v>
      </c>
      <c r="K864">
        <v>0</v>
      </c>
      <c r="O864" t="s">
        <v>51</v>
      </c>
      <c r="Q864" t="s">
        <v>1988</v>
      </c>
    </row>
    <row r="865" spans="1:17" x14ac:dyDescent="0.25">
      <c r="A865" t="s">
        <v>2797</v>
      </c>
      <c r="B865" t="s">
        <v>2798</v>
      </c>
      <c r="C865" t="s">
        <v>1622</v>
      </c>
      <c r="D865">
        <v>37.4833</v>
      </c>
      <c r="E865">
        <v>-113.85</v>
      </c>
      <c r="F865">
        <v>6100</v>
      </c>
      <c r="G865" t="s">
        <v>1576</v>
      </c>
      <c r="K865">
        <v>0</v>
      </c>
      <c r="O865" t="s">
        <v>57</v>
      </c>
      <c r="Q865" t="s">
        <v>2284</v>
      </c>
    </row>
    <row r="866" spans="1:17" x14ac:dyDescent="0.25">
      <c r="A866" t="s">
        <v>785</v>
      </c>
      <c r="B866" t="s">
        <v>786</v>
      </c>
      <c r="C866" t="s">
        <v>26</v>
      </c>
      <c r="D866">
        <v>41.962499999999999</v>
      </c>
      <c r="E866">
        <v>-103.57222</v>
      </c>
      <c r="K866">
        <v>0</v>
      </c>
      <c r="O866" t="s">
        <v>30</v>
      </c>
      <c r="P866" t="s">
        <v>54</v>
      </c>
      <c r="Q866" t="s">
        <v>21</v>
      </c>
    </row>
    <row r="867" spans="1:17" x14ac:dyDescent="0.25">
      <c r="A867" t="s">
        <v>2799</v>
      </c>
      <c r="B867" t="s">
        <v>2800</v>
      </c>
      <c r="C867" t="s">
        <v>19</v>
      </c>
      <c r="D867">
        <v>37.075299999999999</v>
      </c>
      <c r="E867">
        <v>-107.18940000000001</v>
      </c>
      <c r="F867">
        <v>7756.1</v>
      </c>
      <c r="G867" t="s">
        <v>1576</v>
      </c>
      <c r="K867">
        <v>0</v>
      </c>
      <c r="O867" t="s">
        <v>51</v>
      </c>
      <c r="Q867" t="s">
        <v>2284</v>
      </c>
    </row>
    <row r="868" spans="1:17" x14ac:dyDescent="0.25">
      <c r="A868" t="s">
        <v>2801</v>
      </c>
      <c r="B868" t="s">
        <v>2802</v>
      </c>
      <c r="C868" t="s">
        <v>19</v>
      </c>
      <c r="D868">
        <v>37.0456</v>
      </c>
      <c r="E868">
        <v>-106.8425</v>
      </c>
      <c r="F868">
        <v>7293.52</v>
      </c>
      <c r="G868" t="s">
        <v>1576</v>
      </c>
      <c r="K868">
        <v>0</v>
      </c>
      <c r="O868" t="s">
        <v>51</v>
      </c>
      <c r="Q868" t="s">
        <v>2284</v>
      </c>
    </row>
    <row r="869" spans="1:17" x14ac:dyDescent="0.25">
      <c r="A869" t="s">
        <v>2803</v>
      </c>
      <c r="B869" t="s">
        <v>2804</v>
      </c>
      <c r="C869" t="s">
        <v>19</v>
      </c>
      <c r="D869">
        <v>37.075600000000001</v>
      </c>
      <c r="E869">
        <v>-106.81059999999999</v>
      </c>
      <c r="G869" t="s">
        <v>1576</v>
      </c>
      <c r="K869">
        <v>0</v>
      </c>
      <c r="O869" t="s">
        <v>20</v>
      </c>
      <c r="Q869" t="s">
        <v>2284</v>
      </c>
    </row>
    <row r="870" spans="1:17" x14ac:dyDescent="0.25">
      <c r="A870" t="s">
        <v>841</v>
      </c>
      <c r="B870" t="s">
        <v>842</v>
      </c>
      <c r="C870" t="s">
        <v>37</v>
      </c>
      <c r="D870">
        <v>42.716670000000001</v>
      </c>
      <c r="E870">
        <v>-108.64278</v>
      </c>
      <c r="K870">
        <v>0</v>
      </c>
      <c r="O870" t="s">
        <v>51</v>
      </c>
      <c r="Q870" t="s">
        <v>21</v>
      </c>
    </row>
    <row r="871" spans="1:17" x14ac:dyDescent="0.25">
      <c r="A871" t="s">
        <v>843</v>
      </c>
      <c r="B871" t="s">
        <v>844</v>
      </c>
      <c r="C871" t="s">
        <v>41</v>
      </c>
      <c r="D871">
        <v>47.005279999999999</v>
      </c>
      <c r="E871">
        <v>-112.06944</v>
      </c>
      <c r="K871">
        <v>0</v>
      </c>
      <c r="O871" t="s">
        <v>51</v>
      </c>
      <c r="Q871" t="s">
        <v>21</v>
      </c>
    </row>
    <row r="872" spans="1:17" x14ac:dyDescent="0.25">
      <c r="A872" t="s">
        <v>2805</v>
      </c>
      <c r="B872" t="s">
        <v>2806</v>
      </c>
      <c r="C872" t="s">
        <v>19</v>
      </c>
      <c r="D872">
        <v>40.547199999999997</v>
      </c>
      <c r="E872">
        <v>-108.42359999999999</v>
      </c>
      <c r="F872">
        <v>5685</v>
      </c>
      <c r="G872" t="s">
        <v>1576</v>
      </c>
      <c r="K872">
        <v>0</v>
      </c>
      <c r="O872" t="s">
        <v>51</v>
      </c>
      <c r="Q872" t="s">
        <v>2284</v>
      </c>
    </row>
    <row r="873" spans="1:17" x14ac:dyDescent="0.25">
      <c r="A873" t="s">
        <v>2807</v>
      </c>
      <c r="B873" t="s">
        <v>2808</v>
      </c>
      <c r="C873" t="s">
        <v>19</v>
      </c>
      <c r="D873">
        <v>40.999400000000001</v>
      </c>
      <c r="E873">
        <v>-107.14279999999999</v>
      </c>
      <c r="F873">
        <v>6831</v>
      </c>
      <c r="G873" t="s">
        <v>1576</v>
      </c>
      <c r="K873">
        <v>0</v>
      </c>
      <c r="O873" t="s">
        <v>51</v>
      </c>
      <c r="Q873" t="s">
        <v>2284</v>
      </c>
    </row>
    <row r="874" spans="1:17" x14ac:dyDescent="0.25">
      <c r="A874" t="s">
        <v>851</v>
      </c>
      <c r="B874" t="s">
        <v>852</v>
      </c>
      <c r="C874" t="s">
        <v>37</v>
      </c>
      <c r="D874">
        <v>43.833329999999997</v>
      </c>
      <c r="E874">
        <v>-110.25</v>
      </c>
      <c r="F874">
        <v>9370</v>
      </c>
      <c r="K874">
        <v>0</v>
      </c>
      <c r="O874" t="s">
        <v>57</v>
      </c>
      <c r="Q874" t="s">
        <v>21</v>
      </c>
    </row>
    <row r="875" spans="1:17" x14ac:dyDescent="0.25">
      <c r="A875" t="s">
        <v>859</v>
      </c>
      <c r="B875" t="s">
        <v>860</v>
      </c>
      <c r="C875" t="s">
        <v>37</v>
      </c>
      <c r="D875">
        <v>42.997500000000002</v>
      </c>
      <c r="E875">
        <v>-108.37473</v>
      </c>
      <c r="K875">
        <v>0</v>
      </c>
      <c r="O875" t="s">
        <v>51</v>
      </c>
      <c r="Q875" t="s">
        <v>21</v>
      </c>
    </row>
    <row r="876" spans="1:17" x14ac:dyDescent="0.25">
      <c r="A876" t="s">
        <v>1979</v>
      </c>
      <c r="B876" t="s">
        <v>1980</v>
      </c>
      <c r="C876" t="s">
        <v>410</v>
      </c>
      <c r="D876">
        <v>43.425280000000001</v>
      </c>
      <c r="E876">
        <v>-114.02723</v>
      </c>
      <c r="F876">
        <v>5100</v>
      </c>
      <c r="G876" t="s">
        <v>1576</v>
      </c>
      <c r="H876" s="2">
        <v>0</v>
      </c>
      <c r="J876" t="s">
        <v>1594</v>
      </c>
      <c r="K876">
        <v>0</v>
      </c>
      <c r="L876" t="s">
        <v>1599</v>
      </c>
      <c r="O876" t="s">
        <v>30</v>
      </c>
      <c r="P876" t="s">
        <v>1585</v>
      </c>
      <c r="Q876" t="s">
        <v>1580</v>
      </c>
    </row>
    <row r="877" spans="1:17" x14ac:dyDescent="0.25">
      <c r="A877" t="s">
        <v>1796</v>
      </c>
      <c r="B877" t="s">
        <v>1797</v>
      </c>
      <c r="C877" t="s">
        <v>410</v>
      </c>
      <c r="D877">
        <v>43.49306</v>
      </c>
      <c r="E877">
        <v>-114.05723</v>
      </c>
      <c r="F877">
        <v>5320</v>
      </c>
      <c r="G877" t="s">
        <v>1576</v>
      </c>
      <c r="H877" s="2">
        <v>0</v>
      </c>
      <c r="I877">
        <v>13147900</v>
      </c>
      <c r="J877" t="s">
        <v>1594</v>
      </c>
      <c r="K877">
        <v>0</v>
      </c>
      <c r="L877" t="s">
        <v>1595</v>
      </c>
      <c r="O877" t="s">
        <v>51</v>
      </c>
      <c r="P877" t="s">
        <v>1596</v>
      </c>
      <c r="Q877" t="s">
        <v>1580</v>
      </c>
    </row>
    <row r="878" spans="1:17" x14ac:dyDescent="0.25">
      <c r="A878" t="s">
        <v>1981</v>
      </c>
      <c r="B878" t="s">
        <v>1982</v>
      </c>
      <c r="C878" t="s">
        <v>410</v>
      </c>
      <c r="D878">
        <v>43.389957410000001</v>
      </c>
      <c r="E878">
        <v>-113.99967789999999</v>
      </c>
      <c r="F878">
        <v>4991</v>
      </c>
      <c r="G878" t="s">
        <v>1576</v>
      </c>
      <c r="H878" s="2">
        <v>0</v>
      </c>
      <c r="I878">
        <v>13148500</v>
      </c>
      <c r="J878" t="s">
        <v>1594</v>
      </c>
      <c r="K878">
        <v>0</v>
      </c>
      <c r="L878" t="s">
        <v>1595</v>
      </c>
      <c r="O878" t="s">
        <v>51</v>
      </c>
      <c r="P878" t="s">
        <v>1596</v>
      </c>
      <c r="Q878" t="s">
        <v>1580</v>
      </c>
    </row>
    <row r="879" spans="1:17" x14ac:dyDescent="0.25">
      <c r="A879" t="s">
        <v>2809</v>
      </c>
      <c r="B879" t="s">
        <v>2810</v>
      </c>
      <c r="C879" t="s">
        <v>19</v>
      </c>
      <c r="D879">
        <v>37.799999999999997</v>
      </c>
      <c r="E879">
        <v>-107.9333</v>
      </c>
      <c r="F879">
        <v>10200</v>
      </c>
      <c r="G879" t="s">
        <v>1576</v>
      </c>
      <c r="K879">
        <v>0</v>
      </c>
      <c r="O879" t="s">
        <v>57</v>
      </c>
      <c r="Q879" t="s">
        <v>2284</v>
      </c>
    </row>
    <row r="880" spans="1:17" x14ac:dyDescent="0.25">
      <c r="A880" t="s">
        <v>791</v>
      </c>
      <c r="B880" t="s">
        <v>792</v>
      </c>
      <c r="C880" t="s">
        <v>41</v>
      </c>
      <c r="D880">
        <v>49.005279999999999</v>
      </c>
      <c r="E880">
        <v>-109.71722</v>
      </c>
      <c r="K880">
        <v>0</v>
      </c>
      <c r="O880" t="s">
        <v>51</v>
      </c>
      <c r="Q880" t="s">
        <v>21</v>
      </c>
    </row>
    <row r="881" spans="1:17" x14ac:dyDescent="0.25">
      <c r="A881" t="s">
        <v>815</v>
      </c>
      <c r="B881" t="s">
        <v>816</v>
      </c>
      <c r="C881" t="s">
        <v>41</v>
      </c>
      <c r="D881">
        <v>45.127499999999998</v>
      </c>
      <c r="E881">
        <v>-107.60026999999999</v>
      </c>
      <c r="K881">
        <v>0</v>
      </c>
      <c r="O881" t="s">
        <v>51</v>
      </c>
      <c r="Q881" t="s">
        <v>21</v>
      </c>
    </row>
    <row r="882" spans="1:17" x14ac:dyDescent="0.25">
      <c r="A882" t="s">
        <v>2811</v>
      </c>
      <c r="B882" t="s">
        <v>2812</v>
      </c>
      <c r="C882" t="s">
        <v>19</v>
      </c>
      <c r="D882">
        <v>37.9</v>
      </c>
      <c r="E882">
        <v>-108.1833</v>
      </c>
      <c r="F882">
        <v>9600</v>
      </c>
      <c r="G882" t="s">
        <v>1576</v>
      </c>
      <c r="K882">
        <v>0</v>
      </c>
      <c r="O882" t="s">
        <v>57</v>
      </c>
      <c r="Q882" t="s">
        <v>2284</v>
      </c>
    </row>
    <row r="883" spans="1:17" x14ac:dyDescent="0.25">
      <c r="A883" t="s">
        <v>2813</v>
      </c>
      <c r="B883" t="s">
        <v>2814</v>
      </c>
      <c r="C883" t="s">
        <v>1622</v>
      </c>
      <c r="D883">
        <v>37.4833</v>
      </c>
      <c r="E883">
        <v>-112.5167</v>
      </c>
      <c r="F883">
        <v>7360</v>
      </c>
      <c r="G883" t="s">
        <v>1576</v>
      </c>
      <c r="K883">
        <v>0</v>
      </c>
      <c r="O883" t="s">
        <v>57</v>
      </c>
      <c r="Q883" t="s">
        <v>2284</v>
      </c>
    </row>
    <row r="884" spans="1:17" x14ac:dyDescent="0.25">
      <c r="A884" t="s">
        <v>2815</v>
      </c>
      <c r="B884" t="s">
        <v>2816</v>
      </c>
      <c r="C884" t="s">
        <v>1622</v>
      </c>
      <c r="D884">
        <v>40.833300000000001</v>
      </c>
      <c r="E884">
        <v>-110.7167</v>
      </c>
      <c r="F884">
        <v>8200</v>
      </c>
      <c r="G884" t="s">
        <v>1576</v>
      </c>
      <c r="K884">
        <v>0</v>
      </c>
      <c r="O884" t="s">
        <v>57</v>
      </c>
      <c r="Q884" t="s">
        <v>2284</v>
      </c>
    </row>
    <row r="885" spans="1:17" x14ac:dyDescent="0.25">
      <c r="A885" t="s">
        <v>2817</v>
      </c>
      <c r="B885" t="s">
        <v>2818</v>
      </c>
      <c r="C885" t="s">
        <v>37</v>
      </c>
      <c r="D885">
        <v>43.166699999999999</v>
      </c>
      <c r="E885">
        <v>-110.13330000000001</v>
      </c>
      <c r="F885">
        <v>8240</v>
      </c>
      <c r="G885" t="s">
        <v>1576</v>
      </c>
      <c r="K885">
        <v>0</v>
      </c>
      <c r="O885" t="s">
        <v>57</v>
      </c>
      <c r="Q885" t="s">
        <v>2284</v>
      </c>
    </row>
    <row r="886" spans="1:17" x14ac:dyDescent="0.25">
      <c r="A886" t="s">
        <v>1794</v>
      </c>
      <c r="B886" t="s">
        <v>1795</v>
      </c>
      <c r="C886" t="s">
        <v>1588</v>
      </c>
      <c r="D886">
        <v>42.077770000000001</v>
      </c>
      <c r="E886">
        <v>-121.22416</v>
      </c>
      <c r="F886">
        <v>1267.97</v>
      </c>
      <c r="G886" t="s">
        <v>1589</v>
      </c>
      <c r="H886" s="1">
        <v>36982</v>
      </c>
      <c r="J886" t="s">
        <v>1577</v>
      </c>
      <c r="K886">
        <v>0</v>
      </c>
      <c r="L886" t="s">
        <v>1578</v>
      </c>
      <c r="O886" t="s">
        <v>151</v>
      </c>
      <c r="P886" t="s">
        <v>1585</v>
      </c>
      <c r="Q886" t="s">
        <v>1580</v>
      </c>
    </row>
    <row r="887" spans="1:17" x14ac:dyDescent="0.25">
      <c r="A887" t="s">
        <v>2819</v>
      </c>
      <c r="B887" t="s">
        <v>2820</v>
      </c>
      <c r="C887" t="s">
        <v>19</v>
      </c>
      <c r="D887">
        <v>37.009399999999999</v>
      </c>
      <c r="E887">
        <v>-107.5989</v>
      </c>
      <c r="F887">
        <v>6143.58</v>
      </c>
      <c r="G887" t="s">
        <v>1576</v>
      </c>
      <c r="K887">
        <v>0</v>
      </c>
      <c r="O887" t="s">
        <v>51</v>
      </c>
      <c r="Q887" t="s">
        <v>2284</v>
      </c>
    </row>
    <row r="888" spans="1:17" x14ac:dyDescent="0.25">
      <c r="A888" t="s">
        <v>2821</v>
      </c>
      <c r="B888" t="s">
        <v>2822</v>
      </c>
      <c r="C888" t="s">
        <v>19</v>
      </c>
      <c r="D888">
        <v>37.373600000000003</v>
      </c>
      <c r="E888">
        <v>-107.5806</v>
      </c>
      <c r="F888">
        <v>7415</v>
      </c>
      <c r="G888" t="s">
        <v>1576</v>
      </c>
      <c r="K888">
        <v>0</v>
      </c>
      <c r="O888" t="s">
        <v>51</v>
      </c>
      <c r="Q888" t="s">
        <v>2284</v>
      </c>
    </row>
    <row r="889" spans="1:17" x14ac:dyDescent="0.25">
      <c r="A889" t="s">
        <v>2823</v>
      </c>
      <c r="B889" t="s">
        <v>2824</v>
      </c>
      <c r="C889" t="s">
        <v>19</v>
      </c>
      <c r="D889">
        <v>37.382800000000003</v>
      </c>
      <c r="E889">
        <v>-107.57689999999999</v>
      </c>
      <c r="F889">
        <v>7582.54</v>
      </c>
      <c r="G889" t="s">
        <v>1576</v>
      </c>
      <c r="K889">
        <v>0</v>
      </c>
      <c r="O889" t="s">
        <v>51</v>
      </c>
      <c r="Q889" t="s">
        <v>2284</v>
      </c>
    </row>
    <row r="890" spans="1:17" x14ac:dyDescent="0.25">
      <c r="A890" t="s">
        <v>2825</v>
      </c>
      <c r="B890" t="s">
        <v>2826</v>
      </c>
      <c r="C890" t="s">
        <v>19</v>
      </c>
      <c r="D890">
        <v>37.1661</v>
      </c>
      <c r="E890">
        <v>-107.5825</v>
      </c>
      <c r="F890">
        <v>6630</v>
      </c>
      <c r="G890" t="s">
        <v>1576</v>
      </c>
      <c r="K890">
        <v>0</v>
      </c>
      <c r="O890" t="s">
        <v>51</v>
      </c>
      <c r="Q890" t="s">
        <v>2284</v>
      </c>
    </row>
    <row r="891" spans="1:17" x14ac:dyDescent="0.25">
      <c r="A891" t="s">
        <v>2827</v>
      </c>
      <c r="B891" t="s">
        <v>2828</v>
      </c>
      <c r="C891" t="s">
        <v>19</v>
      </c>
      <c r="D891">
        <v>36.982199999999999</v>
      </c>
      <c r="E891">
        <v>-106.0731</v>
      </c>
      <c r="F891">
        <v>8040</v>
      </c>
      <c r="G891" t="s">
        <v>1576</v>
      </c>
      <c r="K891">
        <v>0</v>
      </c>
      <c r="O891" t="s">
        <v>51</v>
      </c>
      <c r="Q891" t="s">
        <v>2284</v>
      </c>
    </row>
    <row r="892" spans="1:17" x14ac:dyDescent="0.25">
      <c r="A892" t="s">
        <v>2829</v>
      </c>
      <c r="B892" t="s">
        <v>2830</v>
      </c>
      <c r="C892" t="s">
        <v>19</v>
      </c>
      <c r="D892">
        <v>37.446100000000001</v>
      </c>
      <c r="E892">
        <v>-108.4686</v>
      </c>
      <c r="F892">
        <v>7030</v>
      </c>
      <c r="G892" t="s">
        <v>1576</v>
      </c>
      <c r="K892">
        <v>0</v>
      </c>
      <c r="O892" t="s">
        <v>51</v>
      </c>
      <c r="Q892" t="s">
        <v>2284</v>
      </c>
    </row>
    <row r="893" spans="1:17" x14ac:dyDescent="0.25">
      <c r="A893" t="s">
        <v>2831</v>
      </c>
      <c r="B893" t="s">
        <v>2832</v>
      </c>
      <c r="C893" t="s">
        <v>1622</v>
      </c>
      <c r="D893">
        <v>41.110500000000002</v>
      </c>
      <c r="E893">
        <v>-111.24</v>
      </c>
      <c r="F893">
        <v>6005</v>
      </c>
      <c r="G893" t="s">
        <v>1576</v>
      </c>
      <c r="K893">
        <v>0</v>
      </c>
      <c r="O893" t="s">
        <v>30</v>
      </c>
      <c r="Q893" t="s">
        <v>2284</v>
      </c>
    </row>
    <row r="894" spans="1:17" x14ac:dyDescent="0.25">
      <c r="A894" t="s">
        <v>2833</v>
      </c>
      <c r="B894" t="s">
        <v>2834</v>
      </c>
      <c r="C894" t="s">
        <v>19</v>
      </c>
      <c r="D894">
        <v>40.816699999999997</v>
      </c>
      <c r="E894">
        <v>-106.7667</v>
      </c>
      <c r="F894">
        <v>9320</v>
      </c>
      <c r="G894" t="s">
        <v>1576</v>
      </c>
      <c r="K894">
        <v>0</v>
      </c>
      <c r="O894" t="s">
        <v>57</v>
      </c>
      <c r="Q894" t="s">
        <v>2284</v>
      </c>
    </row>
    <row r="895" spans="1:17" x14ac:dyDescent="0.25">
      <c r="A895" t="s">
        <v>2835</v>
      </c>
      <c r="B895" t="s">
        <v>2836</v>
      </c>
      <c r="C895" t="s">
        <v>1622</v>
      </c>
      <c r="D895">
        <v>40.83</v>
      </c>
      <c r="E895">
        <v>-111.7646</v>
      </c>
      <c r="F895">
        <v>6700</v>
      </c>
      <c r="G895" t="s">
        <v>1576</v>
      </c>
      <c r="K895">
        <v>0</v>
      </c>
      <c r="O895" t="s">
        <v>57</v>
      </c>
      <c r="Q895" t="s">
        <v>2284</v>
      </c>
    </row>
    <row r="896" spans="1:17" x14ac:dyDescent="0.25">
      <c r="A896" t="s">
        <v>839</v>
      </c>
      <c r="B896" t="s">
        <v>840</v>
      </c>
      <c r="C896" t="s">
        <v>19</v>
      </c>
      <c r="D896">
        <v>39.663609999999998</v>
      </c>
      <c r="E896">
        <v>-105.87862</v>
      </c>
      <c r="F896">
        <v>11990</v>
      </c>
      <c r="K896">
        <v>0</v>
      </c>
      <c r="O896" t="s">
        <v>57</v>
      </c>
      <c r="Q896" t="s">
        <v>21</v>
      </c>
    </row>
    <row r="897" spans="1:17" x14ac:dyDescent="0.25">
      <c r="A897" t="s">
        <v>855</v>
      </c>
      <c r="B897" t="s">
        <v>856</v>
      </c>
      <c r="C897" t="s">
        <v>44</v>
      </c>
      <c r="D897">
        <v>39.884450000000001</v>
      </c>
      <c r="E897">
        <v>-98.028059999999996</v>
      </c>
      <c r="K897">
        <v>0</v>
      </c>
      <c r="O897" t="s">
        <v>30</v>
      </c>
      <c r="P897" t="s">
        <v>107</v>
      </c>
      <c r="Q897" t="s">
        <v>21</v>
      </c>
    </row>
    <row r="898" spans="1:17" x14ac:dyDescent="0.25">
      <c r="A898" t="s">
        <v>2159</v>
      </c>
      <c r="B898" t="s">
        <v>2160</v>
      </c>
      <c r="C898" t="s">
        <v>1987</v>
      </c>
      <c r="D898">
        <v>35.200000000000003</v>
      </c>
      <c r="E898">
        <v>-114.57</v>
      </c>
      <c r="G898" t="s">
        <v>1576</v>
      </c>
      <c r="K898">
        <v>0</v>
      </c>
      <c r="O898" t="s">
        <v>20</v>
      </c>
      <c r="Q898" t="s">
        <v>1988</v>
      </c>
    </row>
    <row r="899" spans="1:17" x14ac:dyDescent="0.25">
      <c r="A899" t="s">
        <v>797</v>
      </c>
      <c r="B899" t="s">
        <v>798</v>
      </c>
      <c r="C899" t="s">
        <v>44</v>
      </c>
      <c r="D899">
        <v>39.883890000000001</v>
      </c>
      <c r="E899">
        <v>-98.025279999999995</v>
      </c>
      <c r="K899">
        <v>0</v>
      </c>
      <c r="O899" t="s">
        <v>34</v>
      </c>
      <c r="Q899" t="s">
        <v>21</v>
      </c>
    </row>
    <row r="900" spans="1:17" x14ac:dyDescent="0.25">
      <c r="A900" t="s">
        <v>819</v>
      </c>
      <c r="B900" t="s">
        <v>820</v>
      </c>
      <c r="C900" t="s">
        <v>37</v>
      </c>
      <c r="D900">
        <v>43.975000000000001</v>
      </c>
      <c r="E900">
        <v>-107.99194</v>
      </c>
      <c r="K900">
        <v>0</v>
      </c>
      <c r="O900" t="s">
        <v>34</v>
      </c>
      <c r="Q900" t="s">
        <v>21</v>
      </c>
    </row>
    <row r="901" spans="1:17" x14ac:dyDescent="0.25">
      <c r="A901" t="s">
        <v>833</v>
      </c>
      <c r="B901" t="s">
        <v>834</v>
      </c>
      <c r="C901" t="s">
        <v>41</v>
      </c>
      <c r="D901">
        <v>46.562779999999997</v>
      </c>
      <c r="E901">
        <v>-108.00584000000001</v>
      </c>
      <c r="F901">
        <v>2950</v>
      </c>
      <c r="K901">
        <v>0</v>
      </c>
      <c r="O901" t="s">
        <v>151</v>
      </c>
      <c r="Q901" t="s">
        <v>21</v>
      </c>
    </row>
    <row r="902" spans="1:17" x14ac:dyDescent="0.25">
      <c r="A902" t="s">
        <v>861</v>
      </c>
      <c r="B902" t="s">
        <v>862</v>
      </c>
      <c r="C902" t="s">
        <v>41</v>
      </c>
      <c r="D902">
        <v>45.5</v>
      </c>
      <c r="E902">
        <v>-111.91665999999999</v>
      </c>
      <c r="F902">
        <v>7900</v>
      </c>
      <c r="K902">
        <v>0</v>
      </c>
      <c r="O902" t="s">
        <v>57</v>
      </c>
      <c r="Q902" t="s">
        <v>21</v>
      </c>
    </row>
    <row r="903" spans="1:17" x14ac:dyDescent="0.25">
      <c r="A903" t="s">
        <v>2837</v>
      </c>
      <c r="B903" t="s">
        <v>2838</v>
      </c>
      <c r="C903" t="s">
        <v>2283</v>
      </c>
      <c r="D903">
        <v>36.7425</v>
      </c>
      <c r="E903">
        <v>-106.62609999999999</v>
      </c>
      <c r="G903" t="s">
        <v>1576</v>
      </c>
      <c r="K903">
        <v>0</v>
      </c>
      <c r="O903" t="s">
        <v>51</v>
      </c>
      <c r="Q903" t="s">
        <v>2284</v>
      </c>
    </row>
    <row r="904" spans="1:17" x14ac:dyDescent="0.25">
      <c r="A904" t="s">
        <v>847</v>
      </c>
      <c r="B904" t="s">
        <v>848</v>
      </c>
      <c r="C904" t="s">
        <v>37</v>
      </c>
      <c r="D904">
        <v>43.697220000000002</v>
      </c>
      <c r="E904">
        <v>-108.17972</v>
      </c>
      <c r="K904">
        <v>0</v>
      </c>
      <c r="O904" t="s">
        <v>34</v>
      </c>
      <c r="Q904" t="s">
        <v>21</v>
      </c>
    </row>
    <row r="905" spans="1:17" x14ac:dyDescent="0.25">
      <c r="A905" t="s">
        <v>739</v>
      </c>
      <c r="B905" t="s">
        <v>740</v>
      </c>
      <c r="C905" t="s">
        <v>47</v>
      </c>
      <c r="D905">
        <v>34.891109999999998</v>
      </c>
      <c r="E905">
        <v>-99.281390000000002</v>
      </c>
      <c r="K905">
        <v>0</v>
      </c>
      <c r="O905" t="s">
        <v>30</v>
      </c>
      <c r="Q905" t="s">
        <v>21</v>
      </c>
    </row>
    <row r="906" spans="1:17" x14ac:dyDescent="0.25">
      <c r="A906" t="s">
        <v>2839</v>
      </c>
      <c r="B906" t="s">
        <v>2840</v>
      </c>
      <c r="C906" t="s">
        <v>19</v>
      </c>
      <c r="D906">
        <v>40.083300000000001</v>
      </c>
      <c r="E906">
        <v>-106.66670000000001</v>
      </c>
      <c r="F906">
        <v>8880</v>
      </c>
      <c r="G906" t="s">
        <v>1576</v>
      </c>
      <c r="K906">
        <v>0</v>
      </c>
      <c r="O906" t="s">
        <v>57</v>
      </c>
      <c r="Q906" t="s">
        <v>2284</v>
      </c>
    </row>
    <row r="907" spans="1:17" x14ac:dyDescent="0.25">
      <c r="A907" t="s">
        <v>914</v>
      </c>
      <c r="B907" t="s">
        <v>915</v>
      </c>
      <c r="C907" t="s">
        <v>41</v>
      </c>
      <c r="D907">
        <v>44.583329999999997</v>
      </c>
      <c r="E907">
        <v>-111.11667</v>
      </c>
      <c r="F907">
        <v>7750</v>
      </c>
      <c r="K907">
        <v>0</v>
      </c>
      <c r="O907" t="s">
        <v>57</v>
      </c>
      <c r="Q907" t="s">
        <v>21</v>
      </c>
    </row>
    <row r="908" spans="1:17" x14ac:dyDescent="0.25">
      <c r="A908" t="s">
        <v>954</v>
      </c>
      <c r="B908" t="s">
        <v>955</v>
      </c>
      <c r="C908" t="s">
        <v>41</v>
      </c>
      <c r="D908">
        <v>44.889449999999997</v>
      </c>
      <c r="E908">
        <v>-111.57944000000001</v>
      </c>
      <c r="K908">
        <v>0</v>
      </c>
      <c r="O908" t="s">
        <v>51</v>
      </c>
      <c r="Q908" t="s">
        <v>21</v>
      </c>
    </row>
    <row r="909" spans="1:17" x14ac:dyDescent="0.25">
      <c r="A909" t="s">
        <v>867</v>
      </c>
      <c r="B909" t="s">
        <v>868</v>
      </c>
      <c r="C909" t="s">
        <v>41</v>
      </c>
      <c r="D909">
        <v>45.444450000000003</v>
      </c>
      <c r="E909">
        <v>-111.73139</v>
      </c>
      <c r="K909">
        <v>0</v>
      </c>
      <c r="O909" t="s">
        <v>51</v>
      </c>
      <c r="Q909" t="s">
        <v>21</v>
      </c>
    </row>
    <row r="910" spans="1:17" x14ac:dyDescent="0.25">
      <c r="A910" t="s">
        <v>988</v>
      </c>
      <c r="B910" t="s">
        <v>989</v>
      </c>
      <c r="C910" t="s">
        <v>41</v>
      </c>
      <c r="D910">
        <v>44.656939999999999</v>
      </c>
      <c r="E910">
        <v>-111.0675</v>
      </c>
      <c r="K910">
        <v>0</v>
      </c>
      <c r="O910" t="s">
        <v>51</v>
      </c>
      <c r="Q910" t="s">
        <v>21</v>
      </c>
    </row>
    <row r="911" spans="1:17" x14ac:dyDescent="0.25">
      <c r="A911" t="s">
        <v>1832</v>
      </c>
      <c r="B911" t="s">
        <v>1833</v>
      </c>
      <c r="C911" t="s">
        <v>1588</v>
      </c>
      <c r="D911">
        <v>44.68</v>
      </c>
      <c r="E911">
        <v>-121.14861000000001</v>
      </c>
      <c r="F911">
        <v>743.71</v>
      </c>
      <c r="G911" t="s">
        <v>1589</v>
      </c>
      <c r="H911" s="1">
        <v>30803</v>
      </c>
      <c r="J911" t="s">
        <v>1577</v>
      </c>
      <c r="K911">
        <v>0</v>
      </c>
      <c r="L911" t="s">
        <v>1578</v>
      </c>
      <c r="O911" t="s">
        <v>151</v>
      </c>
      <c r="P911" t="s">
        <v>1585</v>
      </c>
      <c r="Q911" t="s">
        <v>1580</v>
      </c>
    </row>
    <row r="912" spans="1:17" x14ac:dyDescent="0.25">
      <c r="A912" t="s">
        <v>880</v>
      </c>
      <c r="B912" t="s">
        <v>881</v>
      </c>
      <c r="C912" t="s">
        <v>41</v>
      </c>
      <c r="D912">
        <v>48.373609999999999</v>
      </c>
      <c r="E912">
        <v>-107.77639000000001</v>
      </c>
      <c r="F912">
        <v>2270</v>
      </c>
      <c r="K912">
        <v>0</v>
      </c>
      <c r="O912" t="s">
        <v>151</v>
      </c>
      <c r="Q912" t="s">
        <v>21</v>
      </c>
    </row>
    <row r="913" spans="1:17" x14ac:dyDescent="0.25">
      <c r="A913" t="s">
        <v>1798</v>
      </c>
      <c r="B913" t="s">
        <v>1799</v>
      </c>
      <c r="C913" t="s">
        <v>410</v>
      </c>
      <c r="D913">
        <v>42.4375</v>
      </c>
      <c r="E913">
        <v>-113.41388000000001</v>
      </c>
      <c r="F913">
        <v>1344.17</v>
      </c>
      <c r="G913" t="s">
        <v>1576</v>
      </c>
      <c r="H913" s="1">
        <v>30468</v>
      </c>
      <c r="J913" t="s">
        <v>1577</v>
      </c>
      <c r="K913">
        <v>0</v>
      </c>
      <c r="L913" t="s">
        <v>1578</v>
      </c>
      <c r="O913" t="s">
        <v>151</v>
      </c>
      <c r="P913" t="s">
        <v>1585</v>
      </c>
      <c r="Q913" t="s">
        <v>1580</v>
      </c>
    </row>
    <row r="914" spans="1:17" x14ac:dyDescent="0.25">
      <c r="A914" t="s">
        <v>2841</v>
      </c>
      <c r="B914" t="s">
        <v>2842</v>
      </c>
      <c r="C914" t="s">
        <v>1622</v>
      </c>
      <c r="D914">
        <v>39.683300000000003</v>
      </c>
      <c r="E914">
        <v>-111.3167</v>
      </c>
      <c r="F914">
        <v>8800</v>
      </c>
      <c r="G914" t="s">
        <v>1576</v>
      </c>
      <c r="K914">
        <v>0</v>
      </c>
      <c r="O914" t="s">
        <v>57</v>
      </c>
      <c r="Q914" t="s">
        <v>2284</v>
      </c>
    </row>
    <row r="915" spans="1:17" x14ac:dyDescent="0.25">
      <c r="A915" t="s">
        <v>2851</v>
      </c>
      <c r="B915" t="s">
        <v>2852</v>
      </c>
      <c r="C915" t="s">
        <v>19</v>
      </c>
      <c r="D915">
        <v>37.416699999999999</v>
      </c>
      <c r="E915">
        <v>-108.1833</v>
      </c>
      <c r="F915">
        <v>10000</v>
      </c>
      <c r="G915" t="s">
        <v>1576</v>
      </c>
      <c r="K915">
        <v>0</v>
      </c>
      <c r="O915" t="s">
        <v>57</v>
      </c>
      <c r="Q915" t="s">
        <v>2284</v>
      </c>
    </row>
    <row r="916" spans="1:17" x14ac:dyDescent="0.25">
      <c r="A916" t="s">
        <v>2843</v>
      </c>
      <c r="B916" t="s">
        <v>2844</v>
      </c>
      <c r="C916" t="s">
        <v>19</v>
      </c>
      <c r="D916">
        <v>37.099200000000003</v>
      </c>
      <c r="E916">
        <v>-108.46559999999999</v>
      </c>
      <c r="F916">
        <v>0</v>
      </c>
      <c r="G916" t="s">
        <v>1576</v>
      </c>
      <c r="K916">
        <v>0</v>
      </c>
      <c r="O916" t="s">
        <v>51</v>
      </c>
      <c r="Q916" t="s">
        <v>2284</v>
      </c>
    </row>
    <row r="917" spans="1:17" x14ac:dyDescent="0.25">
      <c r="A917" t="s">
        <v>2845</v>
      </c>
      <c r="B917" t="s">
        <v>2846</v>
      </c>
      <c r="C917" t="s">
        <v>19</v>
      </c>
      <c r="D917">
        <v>37.107799999999997</v>
      </c>
      <c r="E917">
        <v>-108.4633</v>
      </c>
      <c r="F917">
        <v>5685</v>
      </c>
      <c r="G917" t="s">
        <v>1576</v>
      </c>
      <c r="K917">
        <v>0</v>
      </c>
      <c r="O917" t="s">
        <v>51</v>
      </c>
      <c r="Q917" t="s">
        <v>2284</v>
      </c>
    </row>
    <row r="918" spans="1:17" x14ac:dyDescent="0.25">
      <c r="A918" t="s">
        <v>2847</v>
      </c>
      <c r="B918" t="s">
        <v>2848</v>
      </c>
      <c r="C918" t="s">
        <v>19</v>
      </c>
      <c r="D918">
        <v>37.357199999999999</v>
      </c>
      <c r="E918">
        <v>-108.2542</v>
      </c>
      <c r="F918">
        <v>7235</v>
      </c>
      <c r="G918" t="s">
        <v>1576</v>
      </c>
      <c r="K918">
        <v>0</v>
      </c>
      <c r="O918" t="s">
        <v>51</v>
      </c>
      <c r="Q918" t="s">
        <v>2284</v>
      </c>
    </row>
    <row r="919" spans="1:17" x14ac:dyDescent="0.25">
      <c r="A919" t="s">
        <v>2849</v>
      </c>
      <c r="B919" t="s">
        <v>2850</v>
      </c>
      <c r="C919" t="s">
        <v>19</v>
      </c>
      <c r="D919">
        <v>37.027500000000003</v>
      </c>
      <c r="E919">
        <v>-108.74079999999999</v>
      </c>
      <c r="F919">
        <v>5055.9799999999996</v>
      </c>
      <c r="G919" t="s">
        <v>1576</v>
      </c>
      <c r="K919">
        <v>0</v>
      </c>
      <c r="O919" t="s">
        <v>51</v>
      </c>
      <c r="Q919" t="s">
        <v>2284</v>
      </c>
    </row>
    <row r="920" spans="1:17" x14ac:dyDescent="0.25">
      <c r="A920" t="s">
        <v>1800</v>
      </c>
      <c r="B920" t="s">
        <v>1801</v>
      </c>
      <c r="C920" t="s">
        <v>1628</v>
      </c>
      <c r="D920">
        <v>47.916939999999997</v>
      </c>
      <c r="E920">
        <v>-120.12444000000001</v>
      </c>
      <c r="F920">
        <v>601.07000000000005</v>
      </c>
      <c r="G920" t="s">
        <v>1589</v>
      </c>
      <c r="H920" s="1">
        <v>34276</v>
      </c>
      <c r="J920" t="s">
        <v>1577</v>
      </c>
      <c r="K920">
        <v>0</v>
      </c>
      <c r="L920" t="s">
        <v>1578</v>
      </c>
      <c r="O920" t="s">
        <v>151</v>
      </c>
      <c r="P920" t="s">
        <v>1585</v>
      </c>
      <c r="Q920" t="s">
        <v>1580</v>
      </c>
    </row>
    <row r="921" spans="1:17" x14ac:dyDescent="0.25">
      <c r="A921" t="s">
        <v>869</v>
      </c>
      <c r="B921" t="s">
        <v>870</v>
      </c>
      <c r="C921" t="s">
        <v>41</v>
      </c>
      <c r="D921">
        <v>48.8</v>
      </c>
      <c r="E921">
        <v>-113.66665999999999</v>
      </c>
      <c r="F921">
        <v>4900</v>
      </c>
      <c r="K921">
        <v>0</v>
      </c>
      <c r="O921" t="s">
        <v>57</v>
      </c>
      <c r="Q921" t="s">
        <v>21</v>
      </c>
    </row>
    <row r="922" spans="1:17" x14ac:dyDescent="0.25">
      <c r="A922" t="s">
        <v>865</v>
      </c>
      <c r="B922" t="s">
        <v>866</v>
      </c>
      <c r="C922" t="s">
        <v>41</v>
      </c>
      <c r="D922">
        <v>48.26</v>
      </c>
      <c r="E922">
        <v>-110.89166</v>
      </c>
      <c r="K922">
        <v>0</v>
      </c>
      <c r="O922" t="s">
        <v>51</v>
      </c>
      <c r="Q922" t="s">
        <v>21</v>
      </c>
    </row>
    <row r="923" spans="1:17" x14ac:dyDescent="0.25">
      <c r="A923" t="s">
        <v>873</v>
      </c>
      <c r="B923" t="s">
        <v>874</v>
      </c>
      <c r="C923" t="s">
        <v>41</v>
      </c>
      <c r="D923">
        <v>48.30583</v>
      </c>
      <c r="E923">
        <v>-111.07889</v>
      </c>
      <c r="K923">
        <v>0</v>
      </c>
      <c r="O923" t="s">
        <v>51</v>
      </c>
      <c r="Q923" t="s">
        <v>21</v>
      </c>
    </row>
    <row r="924" spans="1:17" x14ac:dyDescent="0.25">
      <c r="A924" t="s">
        <v>962</v>
      </c>
      <c r="B924" t="s">
        <v>963</v>
      </c>
      <c r="C924" t="s">
        <v>41</v>
      </c>
      <c r="D924">
        <v>47.933059999999998</v>
      </c>
      <c r="E924">
        <v>-111.51723</v>
      </c>
      <c r="K924">
        <v>0</v>
      </c>
      <c r="O924" t="s">
        <v>51</v>
      </c>
      <c r="Q924" t="s">
        <v>21</v>
      </c>
    </row>
    <row r="925" spans="1:17" x14ac:dyDescent="0.25">
      <c r="A925" t="s">
        <v>875</v>
      </c>
      <c r="B925" t="s">
        <v>876</v>
      </c>
      <c r="C925" t="s">
        <v>41</v>
      </c>
      <c r="D925">
        <v>48.427219999999998</v>
      </c>
      <c r="E925">
        <v>-111.88889</v>
      </c>
      <c r="K925">
        <v>0</v>
      </c>
      <c r="O925" t="s">
        <v>51</v>
      </c>
      <c r="Q925" t="s">
        <v>21</v>
      </c>
    </row>
    <row r="926" spans="1:17" x14ac:dyDescent="0.25">
      <c r="A926" t="s">
        <v>2161</v>
      </c>
      <c r="B926" t="s">
        <v>2162</v>
      </c>
      <c r="C926" t="s">
        <v>1987</v>
      </c>
      <c r="D926">
        <v>32.880000000000003</v>
      </c>
      <c r="E926">
        <v>-114.46</v>
      </c>
      <c r="G926" t="s">
        <v>1576</v>
      </c>
      <c r="K926">
        <v>0</v>
      </c>
      <c r="O926" t="s">
        <v>20</v>
      </c>
      <c r="Q926" t="s">
        <v>1988</v>
      </c>
    </row>
    <row r="927" spans="1:17" x14ac:dyDescent="0.25">
      <c r="A927" t="s">
        <v>871</v>
      </c>
      <c r="B927" t="s">
        <v>872</v>
      </c>
      <c r="C927" t="s">
        <v>19</v>
      </c>
      <c r="D927">
        <v>39.248049999999999</v>
      </c>
      <c r="E927">
        <v>-106.27084000000001</v>
      </c>
      <c r="K927">
        <v>0</v>
      </c>
      <c r="O927" t="s">
        <v>20</v>
      </c>
      <c r="Q927" t="s">
        <v>21</v>
      </c>
    </row>
    <row r="928" spans="1:17" x14ac:dyDescent="0.25">
      <c r="A928" t="s">
        <v>970</v>
      </c>
      <c r="B928" t="s">
        <v>971</v>
      </c>
      <c r="C928" t="s">
        <v>37</v>
      </c>
      <c r="D928">
        <v>44.3</v>
      </c>
      <c r="E928">
        <v>-109.23333</v>
      </c>
      <c r="F928">
        <v>8760</v>
      </c>
      <c r="K928">
        <v>0</v>
      </c>
      <c r="O928" t="s">
        <v>57</v>
      </c>
      <c r="Q928" t="s">
        <v>21</v>
      </c>
    </row>
    <row r="929" spans="1:17" x14ac:dyDescent="0.25">
      <c r="A929" t="s">
        <v>877</v>
      </c>
      <c r="B929" t="s">
        <v>878</v>
      </c>
      <c r="C929" t="s">
        <v>19</v>
      </c>
      <c r="D929">
        <v>40.376390000000001</v>
      </c>
      <c r="E929">
        <v>-105.48499</v>
      </c>
      <c r="K929">
        <v>0</v>
      </c>
      <c r="O929" t="s">
        <v>30</v>
      </c>
      <c r="Q929" t="s">
        <v>21</v>
      </c>
    </row>
    <row r="930" spans="1:17" x14ac:dyDescent="0.25">
      <c r="A930" t="s">
        <v>879</v>
      </c>
      <c r="B930" t="s">
        <v>878</v>
      </c>
      <c r="C930" t="s">
        <v>19</v>
      </c>
      <c r="D930">
        <v>40.346110000000003</v>
      </c>
      <c r="E930">
        <v>-105.53084</v>
      </c>
      <c r="K930">
        <v>0</v>
      </c>
      <c r="O930" t="s">
        <v>30</v>
      </c>
      <c r="P930" t="s">
        <v>38</v>
      </c>
      <c r="Q930" t="s">
        <v>21</v>
      </c>
    </row>
    <row r="931" spans="1:17" x14ac:dyDescent="0.25">
      <c r="A931" t="s">
        <v>2853</v>
      </c>
      <c r="B931" t="s">
        <v>2854</v>
      </c>
      <c r="C931" t="s">
        <v>19</v>
      </c>
      <c r="D931">
        <v>39.133299999999998</v>
      </c>
      <c r="E931">
        <v>-107.2833</v>
      </c>
      <c r="F931">
        <v>9500</v>
      </c>
      <c r="G931" t="s">
        <v>1576</v>
      </c>
      <c r="K931">
        <v>0</v>
      </c>
      <c r="O931" t="s">
        <v>57</v>
      </c>
      <c r="Q931" t="s">
        <v>2284</v>
      </c>
    </row>
    <row r="932" spans="1:17" x14ac:dyDescent="0.25">
      <c r="A932" t="s">
        <v>2855</v>
      </c>
      <c r="B932" t="s">
        <v>2856</v>
      </c>
      <c r="C932" t="s">
        <v>19</v>
      </c>
      <c r="D932">
        <v>39.603999999999999</v>
      </c>
      <c r="E932">
        <v>-106.54130000000001</v>
      </c>
      <c r="F932">
        <v>9480</v>
      </c>
      <c r="G932" t="s">
        <v>1576</v>
      </c>
      <c r="K932">
        <v>0</v>
      </c>
      <c r="O932" t="s">
        <v>57</v>
      </c>
      <c r="Q932" t="s">
        <v>2284</v>
      </c>
    </row>
    <row r="933" spans="1:17" x14ac:dyDescent="0.25">
      <c r="A933" t="s">
        <v>2857</v>
      </c>
      <c r="B933" t="s">
        <v>2858</v>
      </c>
      <c r="C933" t="s">
        <v>19</v>
      </c>
      <c r="D933">
        <v>39.380699999999997</v>
      </c>
      <c r="E933">
        <v>-106.0719</v>
      </c>
      <c r="G933" t="s">
        <v>1576</v>
      </c>
      <c r="K933">
        <v>0</v>
      </c>
      <c r="O933" t="s">
        <v>20</v>
      </c>
      <c r="Q933" t="s">
        <v>2284</v>
      </c>
    </row>
    <row r="934" spans="1:17" x14ac:dyDescent="0.25">
      <c r="A934" t="s">
        <v>2859</v>
      </c>
      <c r="B934" t="s">
        <v>2860</v>
      </c>
      <c r="C934" t="s">
        <v>19</v>
      </c>
      <c r="D934">
        <v>37.327199999999998</v>
      </c>
      <c r="E934">
        <v>-108.6486</v>
      </c>
      <c r="F934">
        <v>5750</v>
      </c>
      <c r="G934" t="s">
        <v>1576</v>
      </c>
      <c r="K934">
        <v>0</v>
      </c>
      <c r="O934" t="s">
        <v>51</v>
      </c>
      <c r="Q934" t="s">
        <v>2284</v>
      </c>
    </row>
    <row r="935" spans="1:17" x14ac:dyDescent="0.25">
      <c r="A935" t="s">
        <v>2861</v>
      </c>
      <c r="B935" t="s">
        <v>2862</v>
      </c>
      <c r="C935" t="s">
        <v>19</v>
      </c>
      <c r="D935">
        <v>37.340600000000002</v>
      </c>
      <c r="E935">
        <v>-108.8053</v>
      </c>
      <c r="F935">
        <v>5430</v>
      </c>
      <c r="G935" t="s">
        <v>1576</v>
      </c>
      <c r="K935">
        <v>0</v>
      </c>
      <c r="O935" t="s">
        <v>51</v>
      </c>
      <c r="Q935" t="s">
        <v>2284</v>
      </c>
    </row>
    <row r="936" spans="1:17" x14ac:dyDescent="0.25">
      <c r="A936" t="s">
        <v>2863</v>
      </c>
      <c r="B936" t="s">
        <v>2864</v>
      </c>
      <c r="C936" t="s">
        <v>1622</v>
      </c>
      <c r="D936">
        <v>37.216700000000003</v>
      </c>
      <c r="E936">
        <v>-109.1833</v>
      </c>
      <c r="F936">
        <v>4475</v>
      </c>
      <c r="G936" t="s">
        <v>1576</v>
      </c>
      <c r="K936">
        <v>0</v>
      </c>
      <c r="O936" t="s">
        <v>51</v>
      </c>
      <c r="Q936" t="s">
        <v>2284</v>
      </c>
    </row>
    <row r="937" spans="1:17" x14ac:dyDescent="0.25">
      <c r="A937" t="s">
        <v>2865</v>
      </c>
      <c r="B937" t="s">
        <v>2866</v>
      </c>
      <c r="C937" t="s">
        <v>19</v>
      </c>
      <c r="D937">
        <v>37.324199999999998</v>
      </c>
      <c r="E937">
        <v>-109.015</v>
      </c>
      <c r="F937">
        <v>4890</v>
      </c>
      <c r="G937" t="s">
        <v>1576</v>
      </c>
      <c r="K937">
        <v>0</v>
      </c>
      <c r="O937" t="s">
        <v>51</v>
      </c>
      <c r="Q937" t="s">
        <v>2284</v>
      </c>
    </row>
    <row r="938" spans="1:17" x14ac:dyDescent="0.25">
      <c r="A938" t="s">
        <v>2867</v>
      </c>
      <c r="B938" t="s">
        <v>2868</v>
      </c>
      <c r="C938" t="s">
        <v>19</v>
      </c>
      <c r="D938">
        <v>37.322800000000001</v>
      </c>
      <c r="E938">
        <v>-108.6725</v>
      </c>
      <c r="F938">
        <v>5700</v>
      </c>
      <c r="G938" t="s">
        <v>1576</v>
      </c>
      <c r="K938">
        <v>0</v>
      </c>
      <c r="O938" t="s">
        <v>51</v>
      </c>
      <c r="Q938" t="s">
        <v>2284</v>
      </c>
    </row>
    <row r="939" spans="1:17" x14ac:dyDescent="0.25">
      <c r="A939" t="s">
        <v>896</v>
      </c>
      <c r="B939" t="s">
        <v>897</v>
      </c>
      <c r="C939" t="s">
        <v>47</v>
      </c>
      <c r="D939">
        <v>34.314450000000001</v>
      </c>
      <c r="E939">
        <v>-95.875</v>
      </c>
      <c r="K939">
        <v>0</v>
      </c>
      <c r="O939" t="s">
        <v>30</v>
      </c>
      <c r="P939" t="s">
        <v>48</v>
      </c>
      <c r="Q939" t="s">
        <v>21</v>
      </c>
    </row>
    <row r="940" spans="1:17" x14ac:dyDescent="0.25">
      <c r="A940" t="s">
        <v>906</v>
      </c>
      <c r="B940" t="s">
        <v>907</v>
      </c>
      <c r="C940" t="s">
        <v>47</v>
      </c>
      <c r="D940">
        <v>34.416670000000003</v>
      </c>
      <c r="E940">
        <v>-95.883330000000001</v>
      </c>
      <c r="F940">
        <v>576</v>
      </c>
      <c r="K940">
        <v>0</v>
      </c>
      <c r="O940" t="s">
        <v>118</v>
      </c>
      <c r="Q940" t="s">
        <v>21</v>
      </c>
    </row>
    <row r="941" spans="1:17" x14ac:dyDescent="0.25">
      <c r="A941" t="s">
        <v>2869</v>
      </c>
      <c r="B941" t="s">
        <v>2870</v>
      </c>
      <c r="C941" t="s">
        <v>19</v>
      </c>
      <c r="D941">
        <v>37.3431</v>
      </c>
      <c r="E941">
        <v>-108.3438</v>
      </c>
      <c r="F941">
        <v>6924</v>
      </c>
      <c r="G941" t="s">
        <v>1576</v>
      </c>
      <c r="K941">
        <v>0</v>
      </c>
      <c r="O941" t="s">
        <v>30</v>
      </c>
      <c r="Q941" t="s">
        <v>2284</v>
      </c>
    </row>
    <row r="942" spans="1:17" x14ac:dyDescent="0.25">
      <c r="A942" t="s">
        <v>884</v>
      </c>
      <c r="B942" t="s">
        <v>885</v>
      </c>
      <c r="C942" t="s">
        <v>37</v>
      </c>
      <c r="D942">
        <v>41.633339999999997</v>
      </c>
      <c r="E942">
        <v>-106.58334000000001</v>
      </c>
      <c r="F942">
        <v>10500</v>
      </c>
      <c r="K942">
        <v>0</v>
      </c>
      <c r="O942" t="s">
        <v>57</v>
      </c>
      <c r="Q942" t="s">
        <v>21</v>
      </c>
    </row>
    <row r="943" spans="1:17" x14ac:dyDescent="0.25">
      <c r="A943" t="s">
        <v>2871</v>
      </c>
      <c r="B943" t="s">
        <v>2872</v>
      </c>
      <c r="C943" t="s">
        <v>19</v>
      </c>
      <c r="D943">
        <v>37.856099999999998</v>
      </c>
      <c r="E943">
        <v>-105.4361</v>
      </c>
      <c r="F943">
        <v>9620</v>
      </c>
      <c r="G943" t="s">
        <v>1576</v>
      </c>
      <c r="K943">
        <v>0</v>
      </c>
      <c r="O943" t="s">
        <v>57</v>
      </c>
      <c r="Q943" t="s">
        <v>2284</v>
      </c>
    </row>
    <row r="944" spans="1:17" x14ac:dyDescent="0.25">
      <c r="A944" t="s">
        <v>1804</v>
      </c>
      <c r="B944" t="s">
        <v>1805</v>
      </c>
      <c r="C944" t="s">
        <v>1588</v>
      </c>
      <c r="D944">
        <v>42.331110000000002</v>
      </c>
      <c r="E944">
        <v>-122.93777</v>
      </c>
      <c r="F944">
        <v>408.43</v>
      </c>
      <c r="G944" t="s">
        <v>1589</v>
      </c>
      <c r="H944" s="1">
        <v>32629</v>
      </c>
      <c r="J944" t="s">
        <v>1577</v>
      </c>
      <c r="K944">
        <v>0</v>
      </c>
      <c r="L944" t="s">
        <v>1578</v>
      </c>
      <c r="O944" t="s">
        <v>151</v>
      </c>
      <c r="P944" t="s">
        <v>1585</v>
      </c>
      <c r="Q944" t="s">
        <v>1580</v>
      </c>
    </row>
    <row r="945" spans="1:17" x14ac:dyDescent="0.25">
      <c r="A945" t="s">
        <v>886</v>
      </c>
      <c r="B945" t="s">
        <v>887</v>
      </c>
      <c r="C945" t="s">
        <v>37</v>
      </c>
      <c r="D945">
        <v>42.009720000000002</v>
      </c>
      <c r="E945">
        <v>-106.5125</v>
      </c>
      <c r="K945">
        <v>0</v>
      </c>
      <c r="O945" t="s">
        <v>51</v>
      </c>
      <c r="Q945" t="s">
        <v>21</v>
      </c>
    </row>
    <row r="946" spans="1:17" x14ac:dyDescent="0.25">
      <c r="A946" t="s">
        <v>888</v>
      </c>
      <c r="B946" t="s">
        <v>889</v>
      </c>
      <c r="C946" t="s">
        <v>26</v>
      </c>
      <c r="D946">
        <v>40.502780000000001</v>
      </c>
      <c r="E946">
        <v>-100.32222</v>
      </c>
      <c r="K946">
        <v>0</v>
      </c>
      <c r="O946" t="s">
        <v>51</v>
      </c>
      <c r="Q946" t="s">
        <v>21</v>
      </c>
    </row>
    <row r="947" spans="1:17" x14ac:dyDescent="0.25">
      <c r="A947" t="s">
        <v>892</v>
      </c>
      <c r="B947" t="s">
        <v>893</v>
      </c>
      <c r="C947" t="s">
        <v>26</v>
      </c>
      <c r="D947">
        <v>40.371389999999998</v>
      </c>
      <c r="E947">
        <v>-100.22195000000001</v>
      </c>
      <c r="K947">
        <v>0</v>
      </c>
      <c r="O947" t="s">
        <v>51</v>
      </c>
      <c r="Q947" t="s">
        <v>21</v>
      </c>
    </row>
    <row r="948" spans="1:17" x14ac:dyDescent="0.25">
      <c r="A948" t="s">
        <v>912</v>
      </c>
      <c r="B948" t="s">
        <v>913</v>
      </c>
      <c r="C948" t="s">
        <v>26</v>
      </c>
      <c r="D948">
        <v>40.151389999999999</v>
      </c>
      <c r="E948">
        <v>-101.05833</v>
      </c>
      <c r="K948">
        <v>0</v>
      </c>
      <c r="O948" t="s">
        <v>34</v>
      </c>
      <c r="Q948" t="s">
        <v>21</v>
      </c>
    </row>
    <row r="949" spans="1:17" x14ac:dyDescent="0.25">
      <c r="A949" t="s">
        <v>916</v>
      </c>
      <c r="B949" t="s">
        <v>917</v>
      </c>
      <c r="C949" t="s">
        <v>26</v>
      </c>
      <c r="D949">
        <v>40.196390000000001</v>
      </c>
      <c r="E949">
        <v>-100.49139</v>
      </c>
      <c r="K949">
        <v>0</v>
      </c>
      <c r="O949" t="s">
        <v>34</v>
      </c>
      <c r="Q949" t="s">
        <v>21</v>
      </c>
    </row>
    <row r="950" spans="1:17" x14ac:dyDescent="0.25">
      <c r="A950" t="s">
        <v>2873</v>
      </c>
      <c r="B950" t="s">
        <v>2874</v>
      </c>
      <c r="C950" t="s">
        <v>37</v>
      </c>
      <c r="D950">
        <v>41.013399999999997</v>
      </c>
      <c r="E950">
        <v>-110.3446</v>
      </c>
      <c r="F950">
        <v>8685.7000000000007</v>
      </c>
      <c r="G950" t="s">
        <v>1576</v>
      </c>
      <c r="K950">
        <v>0</v>
      </c>
      <c r="O950" t="s">
        <v>30</v>
      </c>
      <c r="Q950" t="s">
        <v>2284</v>
      </c>
    </row>
    <row r="951" spans="1:17" x14ac:dyDescent="0.25">
      <c r="A951" t="s">
        <v>2875</v>
      </c>
      <c r="B951" t="s">
        <v>2876</v>
      </c>
      <c r="C951" t="s">
        <v>1622</v>
      </c>
      <c r="D951">
        <v>38.299999999999997</v>
      </c>
      <c r="E951">
        <v>-112.4333</v>
      </c>
      <c r="F951">
        <v>8750</v>
      </c>
      <c r="G951" t="s">
        <v>1576</v>
      </c>
      <c r="K951">
        <v>0</v>
      </c>
      <c r="O951" t="s">
        <v>57</v>
      </c>
      <c r="Q951" t="s">
        <v>2284</v>
      </c>
    </row>
    <row r="952" spans="1:17" x14ac:dyDescent="0.25">
      <c r="A952" t="s">
        <v>968</v>
      </c>
      <c r="B952" t="s">
        <v>969</v>
      </c>
      <c r="C952" t="s">
        <v>26</v>
      </c>
      <c r="D952">
        <v>42.634999999999998</v>
      </c>
      <c r="E952">
        <v>-100.87222</v>
      </c>
      <c r="K952">
        <v>0</v>
      </c>
      <c r="O952" t="s">
        <v>30</v>
      </c>
      <c r="P952" t="s">
        <v>107</v>
      </c>
      <c r="Q952" t="s">
        <v>21</v>
      </c>
    </row>
    <row r="953" spans="1:17" x14ac:dyDescent="0.25">
      <c r="A953" t="s">
        <v>2877</v>
      </c>
      <c r="B953" t="s">
        <v>2878</v>
      </c>
      <c r="C953" t="s">
        <v>19</v>
      </c>
      <c r="D953">
        <v>39.049999999999997</v>
      </c>
      <c r="E953">
        <v>-108.08329999999999</v>
      </c>
      <c r="F953">
        <v>10000</v>
      </c>
      <c r="G953" t="s">
        <v>1576</v>
      </c>
      <c r="K953">
        <v>0</v>
      </c>
      <c r="O953" t="s">
        <v>57</v>
      </c>
      <c r="Q953" t="s">
        <v>2284</v>
      </c>
    </row>
    <row r="954" spans="1:17" x14ac:dyDescent="0.25">
      <c r="A954" t="s">
        <v>984</v>
      </c>
      <c r="B954" t="s">
        <v>985</v>
      </c>
      <c r="C954" t="s">
        <v>86</v>
      </c>
      <c r="D954">
        <v>31.427219999999998</v>
      </c>
      <c r="E954">
        <v>-100.71083</v>
      </c>
      <c r="K954">
        <v>0</v>
      </c>
      <c r="O954" t="s">
        <v>51</v>
      </c>
      <c r="Q954" t="s">
        <v>21</v>
      </c>
    </row>
    <row r="955" spans="1:17" x14ac:dyDescent="0.25">
      <c r="A955" t="s">
        <v>882</v>
      </c>
      <c r="B955" t="s">
        <v>883</v>
      </c>
      <c r="C955" t="s">
        <v>86</v>
      </c>
      <c r="D955">
        <v>31.433330000000002</v>
      </c>
      <c r="E955">
        <v>-101.1</v>
      </c>
      <c r="K955">
        <v>0</v>
      </c>
      <c r="O955" t="s">
        <v>51</v>
      </c>
      <c r="Q955" t="s">
        <v>21</v>
      </c>
    </row>
    <row r="956" spans="1:17" x14ac:dyDescent="0.25">
      <c r="A956" t="s">
        <v>2879</v>
      </c>
      <c r="B956" t="s">
        <v>2880</v>
      </c>
      <c r="C956" t="s">
        <v>19</v>
      </c>
      <c r="D956">
        <v>37.616700000000002</v>
      </c>
      <c r="E956">
        <v>-107.0333</v>
      </c>
      <c r="F956">
        <v>11250</v>
      </c>
      <c r="G956" t="s">
        <v>1576</v>
      </c>
      <c r="K956">
        <v>0</v>
      </c>
      <c r="O956" t="s">
        <v>57</v>
      </c>
      <c r="Q956" t="s">
        <v>2284</v>
      </c>
    </row>
    <row r="957" spans="1:17" x14ac:dyDescent="0.25">
      <c r="A957" t="s">
        <v>902</v>
      </c>
      <c r="B957" t="s">
        <v>903</v>
      </c>
      <c r="C957" t="s">
        <v>19</v>
      </c>
      <c r="D957">
        <v>39.328609999999998</v>
      </c>
      <c r="E957">
        <v>-106.55222000000001</v>
      </c>
      <c r="K957">
        <v>0</v>
      </c>
      <c r="O957" t="s">
        <v>20</v>
      </c>
      <c r="Q957" t="s">
        <v>21</v>
      </c>
    </row>
    <row r="958" spans="1:17" x14ac:dyDescent="0.25">
      <c r="A958" t="s">
        <v>2881</v>
      </c>
      <c r="B958" t="s">
        <v>2882</v>
      </c>
      <c r="C958" t="s">
        <v>19</v>
      </c>
      <c r="D958">
        <v>39.795999999999999</v>
      </c>
      <c r="E958">
        <v>-106.0273</v>
      </c>
      <c r="F958">
        <v>9000</v>
      </c>
      <c r="G958" t="s">
        <v>1576</v>
      </c>
      <c r="K958">
        <v>0</v>
      </c>
      <c r="O958" t="s">
        <v>57</v>
      </c>
      <c r="Q958" t="s">
        <v>2284</v>
      </c>
    </row>
    <row r="959" spans="1:17" x14ac:dyDescent="0.25">
      <c r="A959" t="s">
        <v>2883</v>
      </c>
      <c r="B959" t="s">
        <v>2884</v>
      </c>
      <c r="C959" t="s">
        <v>19</v>
      </c>
      <c r="D959">
        <v>37.452800000000003</v>
      </c>
      <c r="E959">
        <v>-107.1758</v>
      </c>
      <c r="F959">
        <v>7845</v>
      </c>
      <c r="G959" t="s">
        <v>1576</v>
      </c>
      <c r="K959">
        <v>0</v>
      </c>
      <c r="O959" t="s">
        <v>51</v>
      </c>
      <c r="Q959" t="s">
        <v>2284</v>
      </c>
    </row>
    <row r="960" spans="1:17" x14ac:dyDescent="0.25">
      <c r="A960" t="s">
        <v>2885</v>
      </c>
      <c r="B960" t="s">
        <v>2886</v>
      </c>
      <c r="C960" t="s">
        <v>19</v>
      </c>
      <c r="D960">
        <v>37.486699999999999</v>
      </c>
      <c r="E960">
        <v>-107.1628</v>
      </c>
      <c r="F960">
        <v>8210</v>
      </c>
      <c r="G960" t="s">
        <v>1576</v>
      </c>
      <c r="K960">
        <v>0</v>
      </c>
      <c r="O960" t="s">
        <v>51</v>
      </c>
      <c r="Q960" t="s">
        <v>2284</v>
      </c>
    </row>
    <row r="961" spans="1:17" x14ac:dyDescent="0.25">
      <c r="A961" t="s">
        <v>2887</v>
      </c>
      <c r="B961" t="s">
        <v>2888</v>
      </c>
      <c r="C961" t="s">
        <v>19</v>
      </c>
      <c r="D961">
        <v>37.373899999999999</v>
      </c>
      <c r="E961">
        <v>-108.23</v>
      </c>
      <c r="F961">
        <v>7500</v>
      </c>
      <c r="G961" t="s">
        <v>1576</v>
      </c>
      <c r="K961">
        <v>0</v>
      </c>
      <c r="O961" t="s">
        <v>51</v>
      </c>
      <c r="Q961" t="s">
        <v>2284</v>
      </c>
    </row>
    <row r="962" spans="1:17" x14ac:dyDescent="0.25">
      <c r="A962" t="s">
        <v>952</v>
      </c>
      <c r="B962" t="s">
        <v>953</v>
      </c>
      <c r="C962" t="s">
        <v>37</v>
      </c>
      <c r="D962">
        <v>42.757219999999997</v>
      </c>
      <c r="E962">
        <v>-108.79861</v>
      </c>
      <c r="K962">
        <v>0</v>
      </c>
      <c r="O962" t="s">
        <v>51</v>
      </c>
      <c r="Q962" t="s">
        <v>21</v>
      </c>
    </row>
    <row r="963" spans="1:17" x14ac:dyDescent="0.25">
      <c r="A963" t="s">
        <v>910</v>
      </c>
      <c r="B963" t="s">
        <v>911</v>
      </c>
      <c r="C963" t="s">
        <v>37</v>
      </c>
      <c r="D963">
        <v>43.633339999999997</v>
      </c>
      <c r="E963">
        <v>-107.18333</v>
      </c>
      <c r="F963">
        <v>7760</v>
      </c>
      <c r="K963">
        <v>0</v>
      </c>
      <c r="O963" t="s">
        <v>57</v>
      </c>
      <c r="Q963" t="s">
        <v>21</v>
      </c>
    </row>
    <row r="964" spans="1:17" x14ac:dyDescent="0.25">
      <c r="A964" t="s">
        <v>1838</v>
      </c>
      <c r="B964" t="s">
        <v>1839</v>
      </c>
      <c r="C964" t="s">
        <v>1588</v>
      </c>
      <c r="D964">
        <v>44.854239999999997</v>
      </c>
      <c r="E964">
        <v>-121.14790000000001</v>
      </c>
      <c r="F964">
        <v>432</v>
      </c>
      <c r="G964" t="s">
        <v>1589</v>
      </c>
      <c r="H964" s="1">
        <v>41529</v>
      </c>
      <c r="J964" t="s">
        <v>1577</v>
      </c>
      <c r="K964">
        <v>0</v>
      </c>
      <c r="L964" t="s">
        <v>1578</v>
      </c>
      <c r="O964" t="s">
        <v>151</v>
      </c>
      <c r="P964" t="s">
        <v>1585</v>
      </c>
      <c r="Q964" t="s">
        <v>1580</v>
      </c>
    </row>
    <row r="965" spans="1:17" x14ac:dyDescent="0.25">
      <c r="A965" t="s">
        <v>930</v>
      </c>
      <c r="B965" t="s">
        <v>931</v>
      </c>
      <c r="C965" t="s">
        <v>19</v>
      </c>
      <c r="D965">
        <v>39.185000000000002</v>
      </c>
      <c r="E965">
        <v>-106.68584</v>
      </c>
      <c r="K965">
        <v>0</v>
      </c>
      <c r="O965" t="s">
        <v>20</v>
      </c>
      <c r="Q965" t="s">
        <v>21</v>
      </c>
    </row>
    <row r="966" spans="1:17" x14ac:dyDescent="0.25">
      <c r="A966" t="s">
        <v>2889</v>
      </c>
      <c r="B966" t="s">
        <v>2890</v>
      </c>
      <c r="C966" t="s">
        <v>1622</v>
      </c>
      <c r="D966">
        <v>37.566699999999997</v>
      </c>
      <c r="E966">
        <v>-112.83329999999999</v>
      </c>
      <c r="F966">
        <v>9800</v>
      </c>
      <c r="G966" t="s">
        <v>1576</v>
      </c>
      <c r="K966">
        <v>0</v>
      </c>
      <c r="O966" t="s">
        <v>57</v>
      </c>
      <c r="Q966" t="s">
        <v>2284</v>
      </c>
    </row>
    <row r="967" spans="1:17" x14ac:dyDescent="0.25">
      <c r="A967" t="s">
        <v>974</v>
      </c>
      <c r="B967" t="s">
        <v>975</v>
      </c>
      <c r="C967" t="s">
        <v>41</v>
      </c>
      <c r="D967">
        <v>49.0075</v>
      </c>
      <c r="E967">
        <v>-112.545</v>
      </c>
      <c r="K967">
        <v>0</v>
      </c>
      <c r="O967" t="s">
        <v>51</v>
      </c>
      <c r="Q967" t="s">
        <v>21</v>
      </c>
    </row>
    <row r="968" spans="1:17" x14ac:dyDescent="0.25">
      <c r="A968" t="s">
        <v>894</v>
      </c>
      <c r="B968" t="s">
        <v>895</v>
      </c>
      <c r="C968" t="s">
        <v>41</v>
      </c>
      <c r="D968">
        <v>48.540280000000003</v>
      </c>
      <c r="E968">
        <v>-107.51945000000001</v>
      </c>
      <c r="K968">
        <v>0</v>
      </c>
      <c r="O968" t="s">
        <v>51</v>
      </c>
      <c r="Q968" t="s">
        <v>21</v>
      </c>
    </row>
    <row r="969" spans="1:17" x14ac:dyDescent="0.25">
      <c r="A969" t="s">
        <v>956</v>
      </c>
      <c r="B969" t="s">
        <v>957</v>
      </c>
      <c r="C969" t="s">
        <v>41</v>
      </c>
      <c r="D969">
        <v>48.403060000000004</v>
      </c>
      <c r="E969">
        <v>-108.29304999999999</v>
      </c>
      <c r="K969">
        <v>0</v>
      </c>
      <c r="O969" t="s">
        <v>51</v>
      </c>
      <c r="Q969" t="s">
        <v>21</v>
      </c>
    </row>
    <row r="970" spans="1:17" x14ac:dyDescent="0.25">
      <c r="A970" t="s">
        <v>958</v>
      </c>
      <c r="B970" t="s">
        <v>959</v>
      </c>
      <c r="C970" t="s">
        <v>41</v>
      </c>
      <c r="D970">
        <v>48.984720000000003</v>
      </c>
      <c r="E970">
        <v>-110.47083000000001</v>
      </c>
      <c r="K970">
        <v>0</v>
      </c>
      <c r="O970" t="s">
        <v>51</v>
      </c>
      <c r="Q970" t="s">
        <v>21</v>
      </c>
    </row>
    <row r="971" spans="1:17" x14ac:dyDescent="0.25">
      <c r="A971" t="s">
        <v>928</v>
      </c>
      <c r="B971" t="s">
        <v>929</v>
      </c>
      <c r="C971" t="s">
        <v>41</v>
      </c>
      <c r="D971">
        <v>48.563890000000001</v>
      </c>
      <c r="E971">
        <v>-109.69499999999999</v>
      </c>
      <c r="K971">
        <v>0</v>
      </c>
      <c r="O971" t="s">
        <v>51</v>
      </c>
      <c r="Q971" t="s">
        <v>21</v>
      </c>
    </row>
    <row r="972" spans="1:17" x14ac:dyDescent="0.25">
      <c r="A972" t="s">
        <v>1190</v>
      </c>
      <c r="B972" t="s">
        <v>1191</v>
      </c>
      <c r="C972" t="s">
        <v>41</v>
      </c>
      <c r="D972">
        <v>48.508890000000001</v>
      </c>
      <c r="E972">
        <v>-107.21722</v>
      </c>
      <c r="K972">
        <v>0</v>
      </c>
      <c r="O972" t="s">
        <v>51</v>
      </c>
      <c r="Q972" t="s">
        <v>21</v>
      </c>
    </row>
    <row r="973" spans="1:17" x14ac:dyDescent="0.25">
      <c r="A973" t="s">
        <v>964</v>
      </c>
      <c r="B973" t="s">
        <v>965</v>
      </c>
      <c r="C973" t="s">
        <v>41</v>
      </c>
      <c r="D973">
        <v>48.361660000000001</v>
      </c>
      <c r="E973">
        <v>-107.86278</v>
      </c>
      <c r="K973">
        <v>0</v>
      </c>
      <c r="O973" t="s">
        <v>51</v>
      </c>
      <c r="Q973" t="s">
        <v>21</v>
      </c>
    </row>
    <row r="974" spans="1:17" x14ac:dyDescent="0.25">
      <c r="A974" t="s">
        <v>966</v>
      </c>
      <c r="B974" t="s">
        <v>967</v>
      </c>
      <c r="C974" t="s">
        <v>41</v>
      </c>
      <c r="D974">
        <v>49.143610000000002</v>
      </c>
      <c r="E974">
        <v>-112.07889</v>
      </c>
      <c r="K974">
        <v>0</v>
      </c>
      <c r="O974" t="s">
        <v>51</v>
      </c>
      <c r="Q974" t="s">
        <v>21</v>
      </c>
    </row>
    <row r="975" spans="1:17" x14ac:dyDescent="0.25">
      <c r="A975" t="s">
        <v>972</v>
      </c>
      <c r="B975" t="s">
        <v>973</v>
      </c>
      <c r="C975" t="s">
        <v>41</v>
      </c>
      <c r="D975">
        <v>48.308059999999998</v>
      </c>
      <c r="E975">
        <v>-106.82195</v>
      </c>
      <c r="K975">
        <v>0</v>
      </c>
      <c r="O975" t="s">
        <v>51</v>
      </c>
      <c r="Q975" t="s">
        <v>21</v>
      </c>
    </row>
    <row r="976" spans="1:17" x14ac:dyDescent="0.25">
      <c r="A976" t="s">
        <v>934</v>
      </c>
      <c r="B976" t="s">
        <v>935</v>
      </c>
      <c r="C976" t="s">
        <v>41</v>
      </c>
      <c r="D976">
        <v>48.8</v>
      </c>
      <c r="E976">
        <v>-114</v>
      </c>
      <c r="K976">
        <v>0</v>
      </c>
      <c r="O976" t="s">
        <v>51</v>
      </c>
      <c r="Q976" t="s">
        <v>21</v>
      </c>
    </row>
    <row r="977" spans="1:17" x14ac:dyDescent="0.25">
      <c r="A977" t="s">
        <v>960</v>
      </c>
      <c r="B977" t="s">
        <v>961</v>
      </c>
      <c r="C977" t="s">
        <v>41</v>
      </c>
      <c r="D977">
        <v>48.47278</v>
      </c>
      <c r="E977">
        <v>-108.75776999999999</v>
      </c>
      <c r="K977">
        <v>0</v>
      </c>
      <c r="O977" t="s">
        <v>51</v>
      </c>
      <c r="Q977" t="s">
        <v>21</v>
      </c>
    </row>
    <row r="978" spans="1:17" x14ac:dyDescent="0.25">
      <c r="A978" t="s">
        <v>990</v>
      </c>
      <c r="B978" t="s">
        <v>991</v>
      </c>
      <c r="C978" t="s">
        <v>41</v>
      </c>
      <c r="D978">
        <v>48.129719999999999</v>
      </c>
      <c r="E978">
        <v>-106.36387999999999</v>
      </c>
      <c r="K978">
        <v>0</v>
      </c>
      <c r="O978" t="s">
        <v>51</v>
      </c>
      <c r="Q978" t="s">
        <v>21</v>
      </c>
    </row>
    <row r="979" spans="1:17" x14ac:dyDescent="0.25">
      <c r="A979" t="s">
        <v>2891</v>
      </c>
      <c r="B979" t="s">
        <v>2892</v>
      </c>
      <c r="C979" t="s">
        <v>1622</v>
      </c>
      <c r="D979">
        <v>40.65</v>
      </c>
      <c r="E979">
        <v>-111.63330000000001</v>
      </c>
      <c r="F979">
        <v>8960</v>
      </c>
      <c r="G979" t="s">
        <v>1576</v>
      </c>
      <c r="K979">
        <v>0</v>
      </c>
      <c r="O979" t="s">
        <v>57</v>
      </c>
      <c r="Q979" t="s">
        <v>2284</v>
      </c>
    </row>
    <row r="980" spans="1:17" x14ac:dyDescent="0.25">
      <c r="A980" t="s">
        <v>3502</v>
      </c>
      <c r="B980" t="s">
        <v>3503</v>
      </c>
      <c r="C980" t="s">
        <v>1643</v>
      </c>
      <c r="D980">
        <v>37.000999999999998</v>
      </c>
      <c r="E980">
        <v>-119.705</v>
      </c>
      <c r="F980">
        <v>581</v>
      </c>
      <c r="G980" t="s">
        <v>1589</v>
      </c>
      <c r="K980">
        <v>0</v>
      </c>
      <c r="O980" t="s">
        <v>51</v>
      </c>
      <c r="Q980" t="s">
        <v>3478</v>
      </c>
    </row>
    <row r="981" spans="1:17" x14ac:dyDescent="0.25">
      <c r="A981" t="s">
        <v>3500</v>
      </c>
      <c r="B981" t="s">
        <v>3501</v>
      </c>
      <c r="C981" t="s">
        <v>1643</v>
      </c>
      <c r="D981">
        <v>37.000999999999998</v>
      </c>
      <c r="E981">
        <v>-119.705</v>
      </c>
      <c r="F981">
        <v>581</v>
      </c>
      <c r="G981" t="s">
        <v>1589</v>
      </c>
      <c r="K981">
        <v>0</v>
      </c>
      <c r="O981" t="s">
        <v>30</v>
      </c>
      <c r="Q981" t="s">
        <v>3478</v>
      </c>
    </row>
    <row r="982" spans="1:17" x14ac:dyDescent="0.25">
      <c r="A982" t="s">
        <v>1816</v>
      </c>
      <c r="B982" t="s">
        <v>1817</v>
      </c>
      <c r="C982" t="s">
        <v>410</v>
      </c>
      <c r="D982">
        <v>42.523894069999997</v>
      </c>
      <c r="E982">
        <v>-114.03760389999999</v>
      </c>
      <c r="F982">
        <v>4123</v>
      </c>
      <c r="G982" t="s">
        <v>1576</v>
      </c>
      <c r="H982" s="2">
        <v>0</v>
      </c>
      <c r="J982" t="s">
        <v>1594</v>
      </c>
      <c r="K982">
        <v>0</v>
      </c>
      <c r="L982" t="s">
        <v>1599</v>
      </c>
      <c r="O982" t="s">
        <v>30</v>
      </c>
      <c r="P982" t="s">
        <v>1585</v>
      </c>
      <c r="Q982" t="s">
        <v>1580</v>
      </c>
    </row>
    <row r="983" spans="1:17" x14ac:dyDescent="0.25">
      <c r="A983" t="s">
        <v>2899</v>
      </c>
      <c r="B983" t="s">
        <v>2900</v>
      </c>
      <c r="C983" t="s">
        <v>19</v>
      </c>
      <c r="D983">
        <v>37.85</v>
      </c>
      <c r="E983">
        <v>-107.7333</v>
      </c>
      <c r="F983">
        <v>10040</v>
      </c>
      <c r="G983" t="s">
        <v>1576</v>
      </c>
      <c r="K983">
        <v>0</v>
      </c>
      <c r="O983" t="s">
        <v>57</v>
      </c>
      <c r="Q983" t="s">
        <v>2284</v>
      </c>
    </row>
    <row r="984" spans="1:17" x14ac:dyDescent="0.25">
      <c r="A984" t="s">
        <v>2893</v>
      </c>
      <c r="B984" t="s">
        <v>2894</v>
      </c>
      <c r="C984" t="s">
        <v>19</v>
      </c>
      <c r="D984">
        <v>37.851100000000002</v>
      </c>
      <c r="E984">
        <v>-107.7253</v>
      </c>
      <c r="F984">
        <v>9980</v>
      </c>
      <c r="G984" t="s">
        <v>1576</v>
      </c>
      <c r="K984">
        <v>0</v>
      </c>
      <c r="O984" t="s">
        <v>51</v>
      </c>
      <c r="Q984" t="s">
        <v>2284</v>
      </c>
    </row>
    <row r="985" spans="1:17" x14ac:dyDescent="0.25">
      <c r="A985" t="s">
        <v>2895</v>
      </c>
      <c r="B985" t="s">
        <v>2896</v>
      </c>
      <c r="C985" t="s">
        <v>19</v>
      </c>
      <c r="D985">
        <v>37.802799999999998</v>
      </c>
      <c r="E985">
        <v>-107.6722</v>
      </c>
      <c r="F985">
        <v>9245.98</v>
      </c>
      <c r="G985" t="s">
        <v>1576</v>
      </c>
      <c r="K985">
        <v>0</v>
      </c>
      <c r="O985" t="s">
        <v>51</v>
      </c>
      <c r="Q985" t="s">
        <v>2284</v>
      </c>
    </row>
    <row r="986" spans="1:17" x14ac:dyDescent="0.25">
      <c r="A986" t="s">
        <v>2897</v>
      </c>
      <c r="B986" t="s">
        <v>2898</v>
      </c>
      <c r="C986" t="s">
        <v>19</v>
      </c>
      <c r="D986">
        <v>37.797499999999999</v>
      </c>
      <c r="E986">
        <v>-107.6947</v>
      </c>
      <c r="F986">
        <v>9399.0400000000009</v>
      </c>
      <c r="G986" t="s">
        <v>1576</v>
      </c>
      <c r="K986">
        <v>0</v>
      </c>
      <c r="O986" t="s">
        <v>51</v>
      </c>
      <c r="Q986" t="s">
        <v>2284</v>
      </c>
    </row>
    <row r="987" spans="1:17" x14ac:dyDescent="0.25">
      <c r="A987" t="s">
        <v>1820</v>
      </c>
      <c r="B987" t="s">
        <v>1821</v>
      </c>
      <c r="C987" t="s">
        <v>410</v>
      </c>
      <c r="D987">
        <v>42.670830000000002</v>
      </c>
      <c r="E987">
        <v>-113.48333</v>
      </c>
      <c r="F987">
        <v>4200</v>
      </c>
      <c r="G987" t="s">
        <v>1576</v>
      </c>
      <c r="H987" s="2">
        <v>0</v>
      </c>
      <c r="J987" t="s">
        <v>1594</v>
      </c>
      <c r="K987">
        <v>0</v>
      </c>
      <c r="L987" t="s">
        <v>1599</v>
      </c>
      <c r="O987" t="s">
        <v>30</v>
      </c>
      <c r="P987" t="s">
        <v>1585</v>
      </c>
      <c r="Q987" t="s">
        <v>1580</v>
      </c>
    </row>
    <row r="988" spans="1:17" x14ac:dyDescent="0.25">
      <c r="A988" t="s">
        <v>2901</v>
      </c>
      <c r="B988" t="s">
        <v>2902</v>
      </c>
      <c r="C988" t="s">
        <v>19</v>
      </c>
      <c r="D988">
        <v>38.869999999999997</v>
      </c>
      <c r="E988">
        <v>-107.50360000000001</v>
      </c>
      <c r="G988" t="s">
        <v>1576</v>
      </c>
      <c r="K988">
        <v>0</v>
      </c>
      <c r="O988" t="s">
        <v>51</v>
      </c>
      <c r="Q988" t="s">
        <v>2284</v>
      </c>
    </row>
    <row r="989" spans="1:17" x14ac:dyDescent="0.25">
      <c r="A989" t="s">
        <v>427</v>
      </c>
      <c r="B989" t="s">
        <v>428</v>
      </c>
      <c r="C989" t="s">
        <v>26</v>
      </c>
      <c r="D989">
        <v>41.446390000000001</v>
      </c>
      <c r="E989">
        <v>-98.791659999999993</v>
      </c>
      <c r="K989">
        <v>0</v>
      </c>
      <c r="O989" t="s">
        <v>34</v>
      </c>
      <c r="Q989" t="s">
        <v>21</v>
      </c>
    </row>
    <row r="990" spans="1:17" x14ac:dyDescent="0.25">
      <c r="A990" t="s">
        <v>898</v>
      </c>
      <c r="B990" t="s">
        <v>899</v>
      </c>
      <c r="C990" t="s">
        <v>26</v>
      </c>
      <c r="D990">
        <v>41.823889999999999</v>
      </c>
      <c r="E990">
        <v>-99.211110000000005</v>
      </c>
      <c r="K990">
        <v>0</v>
      </c>
      <c r="O990" t="s">
        <v>34</v>
      </c>
      <c r="Q990" t="s">
        <v>21</v>
      </c>
    </row>
    <row r="991" spans="1:17" x14ac:dyDescent="0.25">
      <c r="A991" t="s">
        <v>2163</v>
      </c>
      <c r="B991" t="s">
        <v>2164</v>
      </c>
      <c r="C991" t="s">
        <v>1604</v>
      </c>
      <c r="D991">
        <v>35.1</v>
      </c>
      <c r="E991">
        <v>-114.6</v>
      </c>
      <c r="G991" t="s">
        <v>1589</v>
      </c>
      <c r="K991">
        <v>0</v>
      </c>
      <c r="O991" t="s">
        <v>20</v>
      </c>
      <c r="Q991" t="s">
        <v>1988</v>
      </c>
    </row>
    <row r="992" spans="1:17" x14ac:dyDescent="0.25">
      <c r="A992" t="s">
        <v>2165</v>
      </c>
      <c r="B992" t="s">
        <v>2166</v>
      </c>
      <c r="C992" t="s">
        <v>1987</v>
      </c>
      <c r="D992">
        <v>33.700000000000003</v>
      </c>
      <c r="E992">
        <v>-114.3</v>
      </c>
      <c r="G992" t="s">
        <v>1576</v>
      </c>
      <c r="K992">
        <v>0</v>
      </c>
      <c r="O992" t="s">
        <v>20</v>
      </c>
      <c r="Q992" t="s">
        <v>1988</v>
      </c>
    </row>
    <row r="993" spans="1:17" x14ac:dyDescent="0.25">
      <c r="A993" t="s">
        <v>2167</v>
      </c>
      <c r="B993" t="s">
        <v>2168</v>
      </c>
      <c r="C993" t="s">
        <v>1643</v>
      </c>
      <c r="D993">
        <v>32.700000000000003</v>
      </c>
      <c r="E993">
        <v>-114.5</v>
      </c>
      <c r="G993" t="s">
        <v>1589</v>
      </c>
      <c r="K993">
        <v>0</v>
      </c>
      <c r="O993" t="s">
        <v>20</v>
      </c>
      <c r="Q993" t="s">
        <v>1988</v>
      </c>
    </row>
    <row r="994" spans="1:17" x14ac:dyDescent="0.25">
      <c r="A994" t="s">
        <v>920</v>
      </c>
      <c r="B994" t="s">
        <v>921</v>
      </c>
      <c r="C994" t="s">
        <v>41</v>
      </c>
      <c r="D994">
        <v>47.817500000000003</v>
      </c>
      <c r="E994">
        <v>-110.66639000000001</v>
      </c>
      <c r="K994">
        <v>0</v>
      </c>
      <c r="O994" t="s">
        <v>51</v>
      </c>
      <c r="Q994" t="s">
        <v>21</v>
      </c>
    </row>
    <row r="995" spans="1:17" x14ac:dyDescent="0.25">
      <c r="A995" t="s">
        <v>1138</v>
      </c>
      <c r="B995" t="s">
        <v>1139</v>
      </c>
      <c r="C995" t="s">
        <v>41</v>
      </c>
      <c r="D995">
        <v>47.630830000000003</v>
      </c>
      <c r="E995">
        <v>-108.68694000000001</v>
      </c>
      <c r="K995">
        <v>0</v>
      </c>
      <c r="O995" t="s">
        <v>51</v>
      </c>
      <c r="Q995" t="s">
        <v>21</v>
      </c>
    </row>
    <row r="996" spans="1:17" x14ac:dyDescent="0.25">
      <c r="A996" t="s">
        <v>1436</v>
      </c>
      <c r="B996" t="s">
        <v>1437</v>
      </c>
      <c r="C996" t="s">
        <v>41</v>
      </c>
      <c r="D996">
        <v>47.435000000000002</v>
      </c>
      <c r="E996">
        <v>-111.38527999999999</v>
      </c>
      <c r="K996">
        <v>0</v>
      </c>
      <c r="O996" t="s">
        <v>51</v>
      </c>
      <c r="Q996" t="s">
        <v>21</v>
      </c>
    </row>
    <row r="997" spans="1:17" x14ac:dyDescent="0.25">
      <c r="A997" t="s">
        <v>1448</v>
      </c>
      <c r="B997" t="s">
        <v>1449</v>
      </c>
      <c r="C997" t="s">
        <v>41</v>
      </c>
      <c r="D997">
        <v>48.003889999999998</v>
      </c>
      <c r="E997">
        <v>-110.25528</v>
      </c>
      <c r="K997">
        <v>0</v>
      </c>
      <c r="O997" t="s">
        <v>51</v>
      </c>
      <c r="Q997" t="s">
        <v>21</v>
      </c>
    </row>
    <row r="998" spans="1:17" x14ac:dyDescent="0.25">
      <c r="A998" t="s">
        <v>922</v>
      </c>
      <c r="B998" t="s">
        <v>923</v>
      </c>
      <c r="C998" t="s">
        <v>41</v>
      </c>
      <c r="D998">
        <v>48.044170000000001</v>
      </c>
      <c r="E998">
        <v>-106.35583</v>
      </c>
      <c r="K998">
        <v>0</v>
      </c>
      <c r="O998" t="s">
        <v>51</v>
      </c>
      <c r="Q998" t="s">
        <v>21</v>
      </c>
    </row>
    <row r="999" spans="1:17" x14ac:dyDescent="0.25">
      <c r="A999" t="s">
        <v>658</v>
      </c>
      <c r="B999" t="s">
        <v>659</v>
      </c>
      <c r="C999" t="s">
        <v>41</v>
      </c>
      <c r="D999">
        <v>46.767220000000002</v>
      </c>
      <c r="E999">
        <v>-111.89082999999999</v>
      </c>
      <c r="K999">
        <v>0</v>
      </c>
      <c r="O999" t="s">
        <v>51</v>
      </c>
      <c r="Q999" t="s">
        <v>21</v>
      </c>
    </row>
    <row r="1000" spans="1:17" x14ac:dyDescent="0.25">
      <c r="A1000" t="s">
        <v>709</v>
      </c>
      <c r="B1000" t="s">
        <v>710</v>
      </c>
      <c r="C1000" t="s">
        <v>41</v>
      </c>
      <c r="D1000">
        <v>46.991109999999999</v>
      </c>
      <c r="E1000">
        <v>-112.00472000000001</v>
      </c>
      <c r="K1000">
        <v>0</v>
      </c>
      <c r="O1000" t="s">
        <v>51</v>
      </c>
      <c r="Q1000" t="s">
        <v>21</v>
      </c>
    </row>
    <row r="1001" spans="1:17" x14ac:dyDescent="0.25">
      <c r="A1001" t="s">
        <v>300</v>
      </c>
      <c r="B1001" t="s">
        <v>301</v>
      </c>
      <c r="C1001" t="s">
        <v>41</v>
      </c>
      <c r="D1001">
        <v>47.269440000000003</v>
      </c>
      <c r="E1001">
        <v>-111.69222000000001</v>
      </c>
      <c r="K1001">
        <v>0</v>
      </c>
      <c r="O1001" t="s">
        <v>51</v>
      </c>
      <c r="Q1001" t="s">
        <v>21</v>
      </c>
    </row>
    <row r="1002" spans="1:17" x14ac:dyDescent="0.25">
      <c r="A1002" t="s">
        <v>358</v>
      </c>
      <c r="B1002" t="s">
        <v>359</v>
      </c>
      <c r="C1002" t="s">
        <v>41</v>
      </c>
      <c r="D1002">
        <v>48.123330000000003</v>
      </c>
      <c r="E1002">
        <v>-104.47499999999999</v>
      </c>
      <c r="K1002">
        <v>0</v>
      </c>
      <c r="O1002" t="s">
        <v>51</v>
      </c>
      <c r="Q1002" t="s">
        <v>21</v>
      </c>
    </row>
    <row r="1003" spans="1:17" x14ac:dyDescent="0.25">
      <c r="A1003" t="s">
        <v>924</v>
      </c>
      <c r="B1003" t="s">
        <v>925</v>
      </c>
      <c r="C1003" t="s">
        <v>41</v>
      </c>
      <c r="D1003">
        <v>47.584440000000001</v>
      </c>
      <c r="E1003">
        <v>-111.05972</v>
      </c>
      <c r="K1003">
        <v>0</v>
      </c>
      <c r="O1003" t="s">
        <v>51</v>
      </c>
      <c r="Q1003" t="s">
        <v>21</v>
      </c>
    </row>
    <row r="1004" spans="1:17" x14ac:dyDescent="0.25">
      <c r="A1004" t="s">
        <v>1514</v>
      </c>
      <c r="B1004" t="s">
        <v>1515</v>
      </c>
      <c r="C1004" t="s">
        <v>41</v>
      </c>
      <c r="D1004">
        <v>48.065829999999998</v>
      </c>
      <c r="E1004">
        <v>-105.53667</v>
      </c>
      <c r="K1004">
        <v>0</v>
      </c>
      <c r="O1004" t="s">
        <v>51</v>
      </c>
      <c r="Q1004" t="s">
        <v>21</v>
      </c>
    </row>
    <row r="1005" spans="1:17" x14ac:dyDescent="0.25">
      <c r="A1005" t="s">
        <v>284</v>
      </c>
      <c r="B1005" t="s">
        <v>285</v>
      </c>
      <c r="C1005" t="s">
        <v>41</v>
      </c>
      <c r="D1005">
        <v>47.50694</v>
      </c>
      <c r="E1005">
        <v>-111.31195</v>
      </c>
      <c r="K1005">
        <v>0</v>
      </c>
      <c r="O1005" t="s">
        <v>51</v>
      </c>
      <c r="Q1005" t="s">
        <v>21</v>
      </c>
    </row>
    <row r="1006" spans="1:17" x14ac:dyDescent="0.25">
      <c r="A1006" t="s">
        <v>1398</v>
      </c>
      <c r="B1006" t="s">
        <v>1399</v>
      </c>
      <c r="C1006" t="s">
        <v>41</v>
      </c>
      <c r="D1006">
        <v>46.14611</v>
      </c>
      <c r="E1006">
        <v>-111.41972</v>
      </c>
      <c r="K1006">
        <v>0</v>
      </c>
      <c r="O1006" t="s">
        <v>51</v>
      </c>
      <c r="Q1006" t="s">
        <v>21</v>
      </c>
    </row>
    <row r="1007" spans="1:17" x14ac:dyDescent="0.25">
      <c r="A1007" t="s">
        <v>926</v>
      </c>
      <c r="B1007" t="s">
        <v>927</v>
      </c>
      <c r="C1007" t="s">
        <v>26</v>
      </c>
      <c r="D1007">
        <v>41.982779999999998</v>
      </c>
      <c r="E1007">
        <v>-104.05777999999999</v>
      </c>
      <c r="K1007">
        <v>0</v>
      </c>
      <c r="O1007" t="s">
        <v>34</v>
      </c>
      <c r="Q1007" t="s">
        <v>21</v>
      </c>
    </row>
    <row r="1008" spans="1:17" x14ac:dyDescent="0.25">
      <c r="A1008" t="s">
        <v>3462</v>
      </c>
      <c r="B1008" t="s">
        <v>3463</v>
      </c>
      <c r="C1008" t="s">
        <v>1987</v>
      </c>
      <c r="D1008">
        <v>32.8292</v>
      </c>
      <c r="E1008">
        <v>-114.495</v>
      </c>
      <c r="F1008">
        <v>151.30000000000001</v>
      </c>
      <c r="G1008" t="s">
        <v>1576</v>
      </c>
      <c r="K1008">
        <v>0</v>
      </c>
      <c r="O1008" t="s">
        <v>30</v>
      </c>
      <c r="Q1008" t="s">
        <v>3441</v>
      </c>
    </row>
    <row r="1009" spans="1:17" x14ac:dyDescent="0.25">
      <c r="A1009" t="s">
        <v>986</v>
      </c>
      <c r="B1009" t="s">
        <v>987</v>
      </c>
      <c r="C1009" t="s">
        <v>41</v>
      </c>
      <c r="D1009">
        <v>47.058889999999998</v>
      </c>
      <c r="E1009">
        <v>-109.95083</v>
      </c>
      <c r="F1009">
        <v>4243</v>
      </c>
      <c r="K1009">
        <v>0</v>
      </c>
      <c r="O1009" t="s">
        <v>151</v>
      </c>
      <c r="Q1009" t="s">
        <v>21</v>
      </c>
    </row>
    <row r="1010" spans="1:17" x14ac:dyDescent="0.25">
      <c r="A1010" t="s">
        <v>2903</v>
      </c>
      <c r="B1010" t="s">
        <v>2904</v>
      </c>
      <c r="C1010" t="s">
        <v>19</v>
      </c>
      <c r="D1010">
        <v>39.904400000000003</v>
      </c>
      <c r="E1010">
        <v>-105.64579999999999</v>
      </c>
      <c r="G1010" t="s">
        <v>1576</v>
      </c>
      <c r="K1010">
        <v>0</v>
      </c>
      <c r="O1010" t="s">
        <v>20</v>
      </c>
      <c r="Q1010" t="s">
        <v>2284</v>
      </c>
    </row>
    <row r="1011" spans="1:17" x14ac:dyDescent="0.25">
      <c r="A1011" t="s">
        <v>2169</v>
      </c>
      <c r="B1011" t="s">
        <v>2170</v>
      </c>
      <c r="C1011" t="s">
        <v>1987</v>
      </c>
      <c r="D1011">
        <v>35</v>
      </c>
      <c r="E1011">
        <v>-114.7</v>
      </c>
      <c r="G1011" t="s">
        <v>1576</v>
      </c>
      <c r="K1011">
        <v>0</v>
      </c>
      <c r="O1011" t="s">
        <v>20</v>
      </c>
      <c r="Q1011" t="s">
        <v>1988</v>
      </c>
    </row>
    <row r="1012" spans="1:17" x14ac:dyDescent="0.25">
      <c r="A1012" t="s">
        <v>2171</v>
      </c>
      <c r="B1012" t="s">
        <v>2172</v>
      </c>
      <c r="C1012" t="s">
        <v>1987</v>
      </c>
      <c r="D1012">
        <v>35.200000000000003</v>
      </c>
      <c r="E1012">
        <v>-114.57</v>
      </c>
      <c r="G1012" t="s">
        <v>1576</v>
      </c>
      <c r="K1012">
        <v>0</v>
      </c>
      <c r="O1012" t="s">
        <v>20</v>
      </c>
      <c r="Q1012" t="s">
        <v>1988</v>
      </c>
    </row>
    <row r="1013" spans="1:17" x14ac:dyDescent="0.25">
      <c r="A1013" t="s">
        <v>2905</v>
      </c>
      <c r="B1013" t="s">
        <v>2906</v>
      </c>
      <c r="C1013" t="s">
        <v>19</v>
      </c>
      <c r="D1013">
        <v>37.75</v>
      </c>
      <c r="E1013">
        <v>-107.6833</v>
      </c>
      <c r="F1013">
        <v>10500</v>
      </c>
      <c r="G1013" t="s">
        <v>1576</v>
      </c>
      <c r="K1013">
        <v>0</v>
      </c>
      <c r="O1013" t="s">
        <v>57</v>
      </c>
      <c r="Q1013" t="s">
        <v>2284</v>
      </c>
    </row>
    <row r="1014" spans="1:17" x14ac:dyDescent="0.25">
      <c r="A1014" t="s">
        <v>1826</v>
      </c>
      <c r="B1014" t="s">
        <v>1827</v>
      </c>
      <c r="C1014" t="s">
        <v>1622</v>
      </c>
      <c r="D1014">
        <v>38.634188000000002</v>
      </c>
      <c r="E1014">
        <v>-112.15759799999999</v>
      </c>
      <c r="F1014">
        <v>1648</v>
      </c>
      <c r="G1014" t="s">
        <v>1576</v>
      </c>
      <c r="H1014" s="1">
        <v>42074</v>
      </c>
      <c r="J1014" t="s">
        <v>1577</v>
      </c>
      <c r="K1014">
        <v>0</v>
      </c>
      <c r="L1014" t="s">
        <v>1578</v>
      </c>
      <c r="O1014" t="s">
        <v>151</v>
      </c>
      <c r="P1014" t="s">
        <v>1585</v>
      </c>
      <c r="Q1014" t="s">
        <v>1580</v>
      </c>
    </row>
    <row r="1015" spans="1:17" x14ac:dyDescent="0.25">
      <c r="A1015" t="s">
        <v>2909</v>
      </c>
      <c r="B1015" t="s">
        <v>2910</v>
      </c>
      <c r="C1015" t="s">
        <v>1622</v>
      </c>
      <c r="D1015">
        <v>41.466700000000003</v>
      </c>
      <c r="E1015">
        <v>-111.5</v>
      </c>
      <c r="F1015">
        <v>8960</v>
      </c>
      <c r="G1015" t="s">
        <v>1576</v>
      </c>
      <c r="K1015">
        <v>0</v>
      </c>
      <c r="O1015" t="s">
        <v>57</v>
      </c>
      <c r="Q1015" t="s">
        <v>2284</v>
      </c>
    </row>
    <row r="1016" spans="1:17" x14ac:dyDescent="0.25">
      <c r="A1016" t="s">
        <v>2907</v>
      </c>
      <c r="B1016" t="s">
        <v>2908</v>
      </c>
      <c r="C1016" t="s">
        <v>19</v>
      </c>
      <c r="D1016">
        <v>39.380699999999997</v>
      </c>
      <c r="E1016">
        <v>-106.0719</v>
      </c>
      <c r="G1016" t="s">
        <v>1576</v>
      </c>
      <c r="K1016">
        <v>0</v>
      </c>
      <c r="O1016" t="s">
        <v>20</v>
      </c>
      <c r="Q1016" t="s">
        <v>2284</v>
      </c>
    </row>
    <row r="1017" spans="1:17" x14ac:dyDescent="0.25">
      <c r="A1017" t="s">
        <v>1828</v>
      </c>
      <c r="B1017" t="s">
        <v>1829</v>
      </c>
      <c r="C1017" t="s">
        <v>410</v>
      </c>
      <c r="D1017">
        <v>44.015000000000001</v>
      </c>
      <c r="E1017">
        <v>-112.53583329999999</v>
      </c>
      <c r="F1017">
        <v>1480</v>
      </c>
      <c r="G1017" t="s">
        <v>1576</v>
      </c>
      <c r="H1017" s="1">
        <v>34987</v>
      </c>
      <c r="J1017" t="s">
        <v>1577</v>
      </c>
      <c r="K1017">
        <v>0</v>
      </c>
      <c r="L1017" t="s">
        <v>1578</v>
      </c>
      <c r="O1017" t="s">
        <v>151</v>
      </c>
      <c r="P1017" t="s">
        <v>1585</v>
      </c>
      <c r="Q1017" t="s">
        <v>1580</v>
      </c>
    </row>
    <row r="1018" spans="1:17" x14ac:dyDescent="0.25">
      <c r="A1018" t="s">
        <v>2911</v>
      </c>
      <c r="B1018" t="s">
        <v>2912</v>
      </c>
      <c r="C1018" t="s">
        <v>1622</v>
      </c>
      <c r="D1018">
        <v>37.860599999999998</v>
      </c>
      <c r="E1018">
        <v>-109.3417</v>
      </c>
      <c r="F1018">
        <v>6900</v>
      </c>
      <c r="G1018" t="s">
        <v>1576</v>
      </c>
      <c r="K1018">
        <v>0</v>
      </c>
      <c r="O1018" t="s">
        <v>51</v>
      </c>
      <c r="Q1018" t="s">
        <v>2284</v>
      </c>
    </row>
    <row r="1019" spans="1:17" x14ac:dyDescent="0.25">
      <c r="A1019" t="s">
        <v>1824</v>
      </c>
      <c r="B1019" t="s">
        <v>1825</v>
      </c>
      <c r="C1019" t="s">
        <v>410</v>
      </c>
      <c r="D1019">
        <v>42.254519999999999</v>
      </c>
      <c r="E1019">
        <v>-111.33772999999999</v>
      </c>
      <c r="F1019">
        <v>1823</v>
      </c>
      <c r="G1019" t="s">
        <v>1576</v>
      </c>
      <c r="J1019" t="s">
        <v>1577</v>
      </c>
      <c r="K1019">
        <v>0</v>
      </c>
      <c r="L1019" t="s">
        <v>1578</v>
      </c>
      <c r="O1019" t="s">
        <v>151</v>
      </c>
      <c r="P1019" t="s">
        <v>1585</v>
      </c>
      <c r="Q1019" t="s">
        <v>1580</v>
      </c>
    </row>
    <row r="1020" spans="1:17" x14ac:dyDescent="0.25">
      <c r="A1020" t="s">
        <v>940</v>
      </c>
      <c r="B1020" t="s">
        <v>941</v>
      </c>
      <c r="C1020" t="s">
        <v>41</v>
      </c>
      <c r="D1020">
        <v>45.216670000000001</v>
      </c>
      <c r="E1020">
        <v>-110.23333</v>
      </c>
      <c r="F1020">
        <v>8850</v>
      </c>
      <c r="K1020">
        <v>0</v>
      </c>
      <c r="O1020" t="s">
        <v>57</v>
      </c>
      <c r="Q1020" t="s">
        <v>21</v>
      </c>
    </row>
    <row r="1021" spans="1:17" x14ac:dyDescent="0.25">
      <c r="A1021" t="s">
        <v>1814</v>
      </c>
      <c r="B1021" t="s">
        <v>1815</v>
      </c>
      <c r="C1021" t="s">
        <v>1588</v>
      </c>
      <c r="D1021">
        <v>44.869120000000002</v>
      </c>
      <c r="E1021">
        <v>-121.06829999999999</v>
      </c>
      <c r="F1021">
        <v>391</v>
      </c>
      <c r="G1021" t="s">
        <v>1589</v>
      </c>
      <c r="H1021" s="1">
        <v>41526</v>
      </c>
      <c r="J1021" t="s">
        <v>1577</v>
      </c>
      <c r="K1021">
        <v>0</v>
      </c>
      <c r="L1021" t="s">
        <v>1578</v>
      </c>
      <c r="O1021" t="s">
        <v>151</v>
      </c>
      <c r="P1021" t="s">
        <v>1585</v>
      </c>
      <c r="Q1021" t="s">
        <v>1580</v>
      </c>
    </row>
    <row r="1022" spans="1:17" x14ac:dyDescent="0.25">
      <c r="A1022" t="s">
        <v>1802</v>
      </c>
      <c r="B1022" t="s">
        <v>1803</v>
      </c>
      <c r="C1022" t="s">
        <v>1588</v>
      </c>
      <c r="D1022">
        <v>44.877890000000001</v>
      </c>
      <c r="E1022">
        <v>-121.07621</v>
      </c>
      <c r="F1022">
        <v>399</v>
      </c>
      <c r="G1022" t="s">
        <v>1589</v>
      </c>
      <c r="H1022" s="3">
        <v>41527</v>
      </c>
      <c r="J1022" t="s">
        <v>1594</v>
      </c>
      <c r="K1022">
        <v>0</v>
      </c>
      <c r="O1022" t="s">
        <v>151</v>
      </c>
      <c r="P1022" t="s">
        <v>1585</v>
      </c>
      <c r="Q1022" t="s">
        <v>1580</v>
      </c>
    </row>
    <row r="1023" spans="1:17" x14ac:dyDescent="0.25">
      <c r="A1023" t="s">
        <v>1808</v>
      </c>
      <c r="B1023" t="s">
        <v>1809</v>
      </c>
      <c r="C1023" t="s">
        <v>1588</v>
      </c>
      <c r="D1023">
        <v>44.873649999999998</v>
      </c>
      <c r="E1023">
        <v>-121.06748</v>
      </c>
      <c r="F1023">
        <v>402</v>
      </c>
      <c r="G1023" t="s">
        <v>1589</v>
      </c>
      <c r="H1023" s="3">
        <v>41527</v>
      </c>
      <c r="J1023" t="s">
        <v>1594</v>
      </c>
      <c r="K1023">
        <v>0</v>
      </c>
      <c r="O1023" t="s">
        <v>151</v>
      </c>
      <c r="P1023" t="s">
        <v>1585</v>
      </c>
      <c r="Q1023" t="s">
        <v>1580</v>
      </c>
    </row>
    <row r="1024" spans="1:17" x14ac:dyDescent="0.25">
      <c r="A1024" t="s">
        <v>1810</v>
      </c>
      <c r="B1024" t="s">
        <v>1811</v>
      </c>
      <c r="C1024" t="s">
        <v>1588</v>
      </c>
      <c r="D1024">
        <v>44.864719999999998</v>
      </c>
      <c r="E1024">
        <v>-121.06507999999999</v>
      </c>
      <c r="F1024">
        <v>426</v>
      </c>
      <c r="G1024" t="s">
        <v>1589</v>
      </c>
      <c r="H1024" s="3">
        <v>41527</v>
      </c>
      <c r="J1024" t="s">
        <v>1594</v>
      </c>
      <c r="K1024">
        <v>0</v>
      </c>
      <c r="O1024" t="s">
        <v>151</v>
      </c>
      <c r="P1024" t="s">
        <v>1585</v>
      </c>
      <c r="Q1024" t="s">
        <v>1580</v>
      </c>
    </row>
    <row r="1025" spans="1:17" x14ac:dyDescent="0.25">
      <c r="A1025" t="s">
        <v>1812</v>
      </c>
      <c r="B1025" t="s">
        <v>1813</v>
      </c>
      <c r="C1025" t="s">
        <v>1588</v>
      </c>
      <c r="D1025">
        <v>44.869410000000002</v>
      </c>
      <c r="E1025">
        <v>-121.07948</v>
      </c>
      <c r="F1025">
        <v>384</v>
      </c>
      <c r="G1025" t="s">
        <v>1589</v>
      </c>
      <c r="H1025" s="3">
        <v>41527</v>
      </c>
      <c r="J1025" t="s">
        <v>1594</v>
      </c>
      <c r="K1025">
        <v>0</v>
      </c>
      <c r="O1025" t="s">
        <v>151</v>
      </c>
      <c r="P1025" t="s">
        <v>1585</v>
      </c>
      <c r="Q1025" t="s">
        <v>1580</v>
      </c>
    </row>
    <row r="1026" spans="1:17" x14ac:dyDescent="0.25">
      <c r="A1026" t="s">
        <v>2913</v>
      </c>
      <c r="B1026" t="s">
        <v>2914</v>
      </c>
      <c r="C1026" t="s">
        <v>1622</v>
      </c>
      <c r="D1026">
        <v>40.334299999999999</v>
      </c>
      <c r="E1026">
        <v>-110.2921</v>
      </c>
      <c r="F1026">
        <v>8137</v>
      </c>
      <c r="G1026" t="s">
        <v>1576</v>
      </c>
      <c r="K1026">
        <v>0</v>
      </c>
      <c r="O1026" t="s">
        <v>30</v>
      </c>
      <c r="Q1026" t="s">
        <v>2284</v>
      </c>
    </row>
    <row r="1027" spans="1:17" x14ac:dyDescent="0.25">
      <c r="A1027" t="s">
        <v>944</v>
      </c>
      <c r="B1027" t="s">
        <v>945</v>
      </c>
      <c r="C1027" t="s">
        <v>410</v>
      </c>
      <c r="D1027">
        <v>45.666670000000003</v>
      </c>
      <c r="E1027">
        <v>-113.95</v>
      </c>
      <c r="F1027">
        <v>6200</v>
      </c>
      <c r="K1027">
        <v>0</v>
      </c>
      <c r="O1027" t="s">
        <v>57</v>
      </c>
      <c r="Q1027" t="s">
        <v>21</v>
      </c>
    </row>
    <row r="1028" spans="1:17" x14ac:dyDescent="0.25">
      <c r="A1028" t="s">
        <v>950</v>
      </c>
      <c r="B1028" t="s">
        <v>951</v>
      </c>
      <c r="C1028" t="s">
        <v>19</v>
      </c>
      <c r="D1028">
        <v>39.35528</v>
      </c>
      <c r="E1028">
        <v>-106.53389</v>
      </c>
      <c r="F1028">
        <v>10090</v>
      </c>
      <c r="K1028">
        <v>0</v>
      </c>
      <c r="O1028" t="s">
        <v>118</v>
      </c>
      <c r="Q1028" t="s">
        <v>21</v>
      </c>
    </row>
    <row r="1029" spans="1:17" x14ac:dyDescent="0.25">
      <c r="A1029" t="s">
        <v>948</v>
      </c>
      <c r="B1029" t="s">
        <v>949</v>
      </c>
      <c r="C1029" t="s">
        <v>19</v>
      </c>
      <c r="D1029">
        <v>39.35528</v>
      </c>
      <c r="E1029">
        <v>-106.53389</v>
      </c>
      <c r="K1029">
        <v>0</v>
      </c>
      <c r="O1029" t="s">
        <v>20</v>
      </c>
      <c r="Q1029" t="s">
        <v>21</v>
      </c>
    </row>
    <row r="1030" spans="1:17" x14ac:dyDescent="0.25">
      <c r="A1030" t="s">
        <v>2915</v>
      </c>
      <c r="B1030" t="s">
        <v>2916</v>
      </c>
      <c r="C1030" t="s">
        <v>19</v>
      </c>
      <c r="D1030">
        <v>38.451700000000002</v>
      </c>
      <c r="E1030">
        <v>-107.5367</v>
      </c>
      <c r="F1030">
        <v>7160</v>
      </c>
      <c r="G1030" t="s">
        <v>1576</v>
      </c>
      <c r="K1030">
        <v>0</v>
      </c>
      <c r="O1030" t="s">
        <v>30</v>
      </c>
      <c r="Q1030" t="s">
        <v>2284</v>
      </c>
    </row>
    <row r="1031" spans="1:17" x14ac:dyDescent="0.25">
      <c r="A1031" t="s">
        <v>2917</v>
      </c>
      <c r="B1031" t="s">
        <v>2918</v>
      </c>
      <c r="C1031" t="s">
        <v>1622</v>
      </c>
      <c r="D1031">
        <v>40.616700000000002</v>
      </c>
      <c r="E1031">
        <v>-109.88330000000001</v>
      </c>
      <c r="F1031">
        <v>9500</v>
      </c>
      <c r="G1031" t="s">
        <v>1576</v>
      </c>
      <c r="K1031">
        <v>0</v>
      </c>
      <c r="O1031" t="s">
        <v>57</v>
      </c>
      <c r="Q1031" t="s">
        <v>2284</v>
      </c>
    </row>
    <row r="1032" spans="1:17" x14ac:dyDescent="0.25">
      <c r="A1032" t="s">
        <v>976</v>
      </c>
      <c r="B1032" t="s">
        <v>977</v>
      </c>
      <c r="C1032" t="s">
        <v>19</v>
      </c>
      <c r="D1032">
        <v>39.102220000000003</v>
      </c>
      <c r="E1032">
        <v>-106.35333</v>
      </c>
      <c r="K1032">
        <v>0</v>
      </c>
      <c r="O1032" t="s">
        <v>30</v>
      </c>
      <c r="P1032" t="s">
        <v>38</v>
      </c>
      <c r="Q1032" t="s">
        <v>21</v>
      </c>
    </row>
    <row r="1033" spans="1:17" x14ac:dyDescent="0.25">
      <c r="A1033" t="s">
        <v>978</v>
      </c>
      <c r="B1033" t="s">
        <v>979</v>
      </c>
      <c r="C1033" t="s">
        <v>41</v>
      </c>
      <c r="D1033">
        <v>47.916670000000003</v>
      </c>
      <c r="E1033">
        <v>-112.81667</v>
      </c>
      <c r="F1033">
        <v>6400</v>
      </c>
      <c r="K1033">
        <v>0</v>
      </c>
      <c r="O1033" t="s">
        <v>57</v>
      </c>
      <c r="Q1033" t="s">
        <v>21</v>
      </c>
    </row>
    <row r="1034" spans="1:17" x14ac:dyDescent="0.25">
      <c r="A1034" t="s">
        <v>1396</v>
      </c>
      <c r="B1034" t="s">
        <v>1397</v>
      </c>
      <c r="C1034" t="s">
        <v>47</v>
      </c>
      <c r="D1034">
        <v>34.738059999999997</v>
      </c>
      <c r="E1034">
        <v>-98.988050000000001</v>
      </c>
      <c r="K1034">
        <v>0</v>
      </c>
      <c r="O1034" t="s">
        <v>30</v>
      </c>
      <c r="P1034" t="s">
        <v>48</v>
      </c>
      <c r="Q1034" t="s">
        <v>21</v>
      </c>
    </row>
    <row r="1035" spans="1:17" x14ac:dyDescent="0.25">
      <c r="A1035" t="s">
        <v>2919</v>
      </c>
      <c r="B1035" t="s">
        <v>2920</v>
      </c>
      <c r="C1035" t="s">
        <v>19</v>
      </c>
      <c r="D1035">
        <v>37.312800000000003</v>
      </c>
      <c r="E1035">
        <v>-108.6606</v>
      </c>
      <c r="F1035">
        <v>5765</v>
      </c>
      <c r="G1035" t="s">
        <v>1576</v>
      </c>
      <c r="K1035">
        <v>0</v>
      </c>
      <c r="O1035" t="s">
        <v>51</v>
      </c>
      <c r="Q1035" t="s">
        <v>2284</v>
      </c>
    </row>
    <row r="1036" spans="1:17" x14ac:dyDescent="0.25">
      <c r="A1036" t="s">
        <v>2921</v>
      </c>
      <c r="B1036" t="s">
        <v>2922</v>
      </c>
      <c r="C1036" t="s">
        <v>19</v>
      </c>
      <c r="D1036">
        <v>37.319400000000002</v>
      </c>
      <c r="E1036">
        <v>-108.6675</v>
      </c>
      <c r="F1036">
        <v>5730</v>
      </c>
      <c r="G1036" t="s">
        <v>1576</v>
      </c>
      <c r="K1036">
        <v>0</v>
      </c>
      <c r="O1036" t="s">
        <v>51</v>
      </c>
      <c r="Q1036" t="s">
        <v>2284</v>
      </c>
    </row>
    <row r="1037" spans="1:17" x14ac:dyDescent="0.25">
      <c r="A1037" t="s">
        <v>980</v>
      </c>
      <c r="B1037" t="s">
        <v>981</v>
      </c>
      <c r="C1037" t="s">
        <v>19</v>
      </c>
      <c r="D1037">
        <v>40.108609999999999</v>
      </c>
      <c r="E1037">
        <v>-106.41334000000001</v>
      </c>
      <c r="K1037">
        <v>0</v>
      </c>
      <c r="O1037" t="s">
        <v>51</v>
      </c>
      <c r="Q1037" t="s">
        <v>21</v>
      </c>
    </row>
    <row r="1038" spans="1:17" x14ac:dyDescent="0.25">
      <c r="A1038" t="s">
        <v>2923</v>
      </c>
      <c r="B1038" t="s">
        <v>2924</v>
      </c>
      <c r="C1038" t="s">
        <v>19</v>
      </c>
      <c r="D1038">
        <v>38.987499999999997</v>
      </c>
      <c r="E1038">
        <v>-107.3481</v>
      </c>
      <c r="F1038">
        <v>7412</v>
      </c>
      <c r="G1038" t="s">
        <v>1576</v>
      </c>
      <c r="K1038">
        <v>0</v>
      </c>
      <c r="O1038" t="s">
        <v>51</v>
      </c>
      <c r="Q1038" t="s">
        <v>2284</v>
      </c>
    </row>
    <row r="1039" spans="1:17" x14ac:dyDescent="0.25">
      <c r="A1039" t="s">
        <v>890</v>
      </c>
      <c r="B1039" t="s">
        <v>891</v>
      </c>
      <c r="C1039" t="s">
        <v>26</v>
      </c>
      <c r="D1039">
        <v>40.30639</v>
      </c>
      <c r="E1039">
        <v>-99.911389999999997</v>
      </c>
      <c r="K1039">
        <v>0</v>
      </c>
      <c r="O1039" t="s">
        <v>51</v>
      </c>
      <c r="Q1039" t="s">
        <v>21</v>
      </c>
    </row>
    <row r="1040" spans="1:17" x14ac:dyDescent="0.25">
      <c r="A1040" t="s">
        <v>904</v>
      </c>
      <c r="B1040" t="s">
        <v>905</v>
      </c>
      <c r="C1040" t="s">
        <v>41</v>
      </c>
      <c r="D1040">
        <v>47.561660000000003</v>
      </c>
      <c r="E1040">
        <v>-111.5425</v>
      </c>
      <c r="K1040">
        <v>0</v>
      </c>
      <c r="O1040" t="s">
        <v>51</v>
      </c>
      <c r="Q1040" t="s">
        <v>21</v>
      </c>
    </row>
    <row r="1041" spans="1:17" x14ac:dyDescent="0.25">
      <c r="A1041" t="s">
        <v>2925</v>
      </c>
      <c r="B1041" t="s">
        <v>2926</v>
      </c>
      <c r="C1041" t="s">
        <v>19</v>
      </c>
      <c r="D1041">
        <v>38.940600000000003</v>
      </c>
      <c r="E1041">
        <v>-107.35639999999999</v>
      </c>
      <c r="F1041">
        <v>6278</v>
      </c>
      <c r="G1041" t="s">
        <v>1576</v>
      </c>
      <c r="K1041">
        <v>0</v>
      </c>
      <c r="O1041" t="s">
        <v>51</v>
      </c>
      <c r="Q1041" t="s">
        <v>2284</v>
      </c>
    </row>
    <row r="1042" spans="1:17" x14ac:dyDescent="0.25">
      <c r="A1042" t="s">
        <v>900</v>
      </c>
      <c r="B1042" t="s">
        <v>901</v>
      </c>
      <c r="C1042" t="s">
        <v>41</v>
      </c>
      <c r="D1042">
        <v>48.184440000000002</v>
      </c>
      <c r="E1042">
        <v>-112.20139</v>
      </c>
      <c r="K1042">
        <v>0</v>
      </c>
      <c r="O1042" t="s">
        <v>51</v>
      </c>
      <c r="Q1042" t="s">
        <v>21</v>
      </c>
    </row>
    <row r="1043" spans="1:17" x14ac:dyDescent="0.25">
      <c r="A1043" t="s">
        <v>908</v>
      </c>
      <c r="B1043" t="s">
        <v>909</v>
      </c>
      <c r="C1043" t="s">
        <v>37</v>
      </c>
      <c r="D1043">
        <v>43.286110000000001</v>
      </c>
      <c r="E1043">
        <v>-108.27500000000001</v>
      </c>
      <c r="K1043">
        <v>0</v>
      </c>
      <c r="O1043" t="s">
        <v>51</v>
      </c>
      <c r="Q1043" t="s">
        <v>21</v>
      </c>
    </row>
    <row r="1044" spans="1:17" x14ac:dyDescent="0.25">
      <c r="A1044" t="s">
        <v>942</v>
      </c>
      <c r="B1044" t="s">
        <v>943</v>
      </c>
      <c r="C1044" t="s">
        <v>41</v>
      </c>
      <c r="D1044">
        <v>47.625</v>
      </c>
      <c r="E1044">
        <v>-111.63472</v>
      </c>
      <c r="K1044">
        <v>0</v>
      </c>
      <c r="O1044" t="s">
        <v>51</v>
      </c>
      <c r="Q1044" t="s">
        <v>21</v>
      </c>
    </row>
    <row r="1045" spans="1:17" x14ac:dyDescent="0.25">
      <c r="A1045" t="s">
        <v>982</v>
      </c>
      <c r="B1045" t="s">
        <v>983</v>
      </c>
      <c r="C1045" t="s">
        <v>41</v>
      </c>
      <c r="D1045">
        <v>45.4</v>
      </c>
      <c r="E1045">
        <v>-112.96666999999999</v>
      </c>
      <c r="F1045">
        <v>8300</v>
      </c>
      <c r="K1045">
        <v>0</v>
      </c>
      <c r="O1045" t="s">
        <v>57</v>
      </c>
      <c r="Q1045" t="s">
        <v>21</v>
      </c>
    </row>
    <row r="1046" spans="1:17" x14ac:dyDescent="0.25">
      <c r="A1046" t="s">
        <v>1182</v>
      </c>
      <c r="B1046" t="s">
        <v>1183</v>
      </c>
      <c r="C1046" t="s">
        <v>41</v>
      </c>
      <c r="D1046">
        <v>46.416670000000003</v>
      </c>
      <c r="E1046">
        <v>-108.56667</v>
      </c>
      <c r="K1046">
        <v>0</v>
      </c>
      <c r="O1046" t="s">
        <v>51</v>
      </c>
      <c r="Q1046" t="s">
        <v>21</v>
      </c>
    </row>
    <row r="1047" spans="1:17" x14ac:dyDescent="0.25">
      <c r="A1047" t="s">
        <v>2173</v>
      </c>
      <c r="B1047" t="s">
        <v>2174</v>
      </c>
      <c r="C1047" t="s">
        <v>1643</v>
      </c>
      <c r="D1047">
        <v>34.316400000000002</v>
      </c>
      <c r="E1047">
        <v>-114.1564</v>
      </c>
      <c r="G1047" t="s">
        <v>1589</v>
      </c>
      <c r="K1047">
        <v>0</v>
      </c>
      <c r="O1047" t="s">
        <v>20</v>
      </c>
      <c r="Q1047" t="s">
        <v>1988</v>
      </c>
    </row>
    <row r="1048" spans="1:17" x14ac:dyDescent="0.25">
      <c r="A1048" t="s">
        <v>590</v>
      </c>
      <c r="B1048" t="s">
        <v>591</v>
      </c>
      <c r="C1048" t="s">
        <v>37</v>
      </c>
      <c r="D1048">
        <v>42.574170000000002</v>
      </c>
      <c r="E1048">
        <v>-106.69195000000001</v>
      </c>
      <c r="K1048">
        <v>0</v>
      </c>
      <c r="O1048" t="s">
        <v>51</v>
      </c>
      <c r="Q1048" t="s">
        <v>21</v>
      </c>
    </row>
    <row r="1049" spans="1:17" x14ac:dyDescent="0.25">
      <c r="A1049" t="s">
        <v>608</v>
      </c>
      <c r="B1049" t="s">
        <v>609</v>
      </c>
      <c r="C1049" t="s">
        <v>37</v>
      </c>
      <c r="D1049">
        <v>42.456940000000003</v>
      </c>
      <c r="E1049">
        <v>-104.94722</v>
      </c>
      <c r="K1049">
        <v>0</v>
      </c>
      <c r="O1049" t="s">
        <v>51</v>
      </c>
      <c r="Q1049" t="s">
        <v>21</v>
      </c>
    </row>
    <row r="1050" spans="1:17" x14ac:dyDescent="0.25">
      <c r="A1050" t="s">
        <v>612</v>
      </c>
      <c r="B1050" t="s">
        <v>613</v>
      </c>
      <c r="C1050" t="s">
        <v>37</v>
      </c>
      <c r="D1050">
        <v>42.280560000000001</v>
      </c>
      <c r="E1050">
        <v>-104.75417</v>
      </c>
      <c r="K1050">
        <v>0</v>
      </c>
      <c r="O1050" t="s">
        <v>51</v>
      </c>
      <c r="Q1050" t="s">
        <v>21</v>
      </c>
    </row>
    <row r="1051" spans="1:17" x14ac:dyDescent="0.25">
      <c r="A1051" t="s">
        <v>773</v>
      </c>
      <c r="B1051" t="s">
        <v>774</v>
      </c>
      <c r="C1051" t="s">
        <v>37</v>
      </c>
      <c r="D1051">
        <v>42.178330000000003</v>
      </c>
      <c r="E1051">
        <v>-106.87582999999999</v>
      </c>
      <c r="K1051">
        <v>0</v>
      </c>
      <c r="O1051" t="s">
        <v>51</v>
      </c>
      <c r="Q1051" t="s">
        <v>21</v>
      </c>
    </row>
    <row r="1052" spans="1:17" x14ac:dyDescent="0.25">
      <c r="A1052" t="s">
        <v>2947</v>
      </c>
      <c r="B1052" t="s">
        <v>2948</v>
      </c>
      <c r="C1052" t="s">
        <v>1622</v>
      </c>
      <c r="D1052">
        <v>37.866700000000002</v>
      </c>
      <c r="E1052">
        <v>-109.36669999999999</v>
      </c>
      <c r="F1052">
        <v>0</v>
      </c>
      <c r="G1052" t="s">
        <v>1576</v>
      </c>
      <c r="K1052">
        <v>0</v>
      </c>
      <c r="O1052" t="s">
        <v>51</v>
      </c>
      <c r="Q1052" t="s">
        <v>2284</v>
      </c>
    </row>
    <row r="1053" spans="1:17" x14ac:dyDescent="0.25">
      <c r="A1053" t="s">
        <v>2927</v>
      </c>
      <c r="B1053" t="s">
        <v>2928</v>
      </c>
      <c r="C1053" t="s">
        <v>2283</v>
      </c>
      <c r="D1053">
        <v>35.845799999999997</v>
      </c>
      <c r="E1053">
        <v>-105.9019</v>
      </c>
      <c r="F1053">
        <v>6840</v>
      </c>
      <c r="G1053" t="s">
        <v>1576</v>
      </c>
      <c r="K1053">
        <v>0</v>
      </c>
      <c r="O1053" t="s">
        <v>30</v>
      </c>
      <c r="Q1053" t="s">
        <v>2284</v>
      </c>
    </row>
    <row r="1054" spans="1:17" x14ac:dyDescent="0.25">
      <c r="A1054" t="s">
        <v>1842</v>
      </c>
      <c r="B1054" t="s">
        <v>1843</v>
      </c>
      <c r="C1054" t="s">
        <v>410</v>
      </c>
      <c r="D1054">
        <v>43.437220000000003</v>
      </c>
      <c r="E1054">
        <v>-116.64527</v>
      </c>
      <c r="F1054">
        <v>823.57</v>
      </c>
      <c r="G1054" t="s">
        <v>1576</v>
      </c>
      <c r="H1054" s="1">
        <v>35135</v>
      </c>
      <c r="J1054" t="s">
        <v>1577</v>
      </c>
      <c r="K1054">
        <v>0</v>
      </c>
      <c r="L1054" t="s">
        <v>1578</v>
      </c>
      <c r="O1054" t="s">
        <v>151</v>
      </c>
      <c r="P1054" t="s">
        <v>1585</v>
      </c>
      <c r="Q1054" t="s">
        <v>1580</v>
      </c>
    </row>
    <row r="1055" spans="1:17" x14ac:dyDescent="0.25">
      <c r="A1055" t="s">
        <v>1046</v>
      </c>
      <c r="B1055" t="s">
        <v>1047</v>
      </c>
      <c r="C1055" t="s">
        <v>26</v>
      </c>
      <c r="D1055">
        <v>40.057499999999997</v>
      </c>
      <c r="E1055">
        <v>-99.200829999999996</v>
      </c>
      <c r="K1055">
        <v>0</v>
      </c>
      <c r="O1055" t="s">
        <v>34</v>
      </c>
      <c r="Q1055" t="s">
        <v>21</v>
      </c>
    </row>
    <row r="1056" spans="1:17" x14ac:dyDescent="0.25">
      <c r="A1056" t="s">
        <v>2929</v>
      </c>
      <c r="B1056" t="s">
        <v>2930</v>
      </c>
      <c r="C1056" t="s">
        <v>19</v>
      </c>
      <c r="D1056">
        <v>39.299999999999997</v>
      </c>
      <c r="E1056">
        <v>-106.6</v>
      </c>
      <c r="F1056">
        <v>8700</v>
      </c>
      <c r="G1056" t="s">
        <v>1576</v>
      </c>
      <c r="K1056">
        <v>0</v>
      </c>
      <c r="O1056" t="s">
        <v>57</v>
      </c>
      <c r="Q1056" t="s">
        <v>2284</v>
      </c>
    </row>
    <row r="1057" spans="1:17" x14ac:dyDescent="0.25">
      <c r="A1057" t="s">
        <v>1032</v>
      </c>
      <c r="B1057" t="s">
        <v>1033</v>
      </c>
      <c r="C1057" t="s">
        <v>19</v>
      </c>
      <c r="D1057">
        <v>39.296109999999999</v>
      </c>
      <c r="E1057">
        <v>-106.60583</v>
      </c>
      <c r="F1057">
        <v>8720</v>
      </c>
      <c r="K1057">
        <v>0</v>
      </c>
      <c r="O1057" t="s">
        <v>57</v>
      </c>
      <c r="Q1057" t="s">
        <v>21</v>
      </c>
    </row>
    <row r="1058" spans="1:17" x14ac:dyDescent="0.25">
      <c r="A1058" t="s">
        <v>2931</v>
      </c>
      <c r="B1058" t="s">
        <v>2932</v>
      </c>
      <c r="C1058" t="s">
        <v>2283</v>
      </c>
      <c r="D1058">
        <v>36.482799999999997</v>
      </c>
      <c r="E1058">
        <v>-107.36320000000001</v>
      </c>
      <c r="F1058">
        <v>6085</v>
      </c>
      <c r="G1058" t="s">
        <v>1576</v>
      </c>
      <c r="K1058">
        <v>0</v>
      </c>
      <c r="O1058" t="s">
        <v>30</v>
      </c>
      <c r="Q1058" t="s">
        <v>2284</v>
      </c>
    </row>
    <row r="1059" spans="1:17" x14ac:dyDescent="0.25">
      <c r="A1059" t="s">
        <v>2933</v>
      </c>
      <c r="B1059" t="s">
        <v>2934</v>
      </c>
      <c r="C1059" t="s">
        <v>19</v>
      </c>
      <c r="D1059">
        <v>37.0319</v>
      </c>
      <c r="E1059">
        <v>-106.73220000000001</v>
      </c>
      <c r="F1059">
        <v>7700</v>
      </c>
      <c r="G1059" t="s">
        <v>1576</v>
      </c>
      <c r="K1059">
        <v>0</v>
      </c>
      <c r="O1059" t="s">
        <v>51</v>
      </c>
      <c r="Q1059" t="s">
        <v>2284</v>
      </c>
    </row>
    <row r="1060" spans="1:17" x14ac:dyDescent="0.25">
      <c r="A1060" t="s">
        <v>2935</v>
      </c>
      <c r="B1060" t="s">
        <v>2936</v>
      </c>
      <c r="C1060" t="s">
        <v>19</v>
      </c>
      <c r="D1060">
        <v>37.002800000000001</v>
      </c>
      <c r="E1060">
        <v>-106.90689999999999</v>
      </c>
      <c r="F1060">
        <v>7033</v>
      </c>
      <c r="G1060" t="s">
        <v>1576</v>
      </c>
      <c r="K1060">
        <v>0</v>
      </c>
      <c r="O1060" t="s">
        <v>51</v>
      </c>
      <c r="Q1060" t="s">
        <v>2284</v>
      </c>
    </row>
    <row r="1061" spans="1:17" x14ac:dyDescent="0.25">
      <c r="A1061" t="s">
        <v>2937</v>
      </c>
      <c r="B1061" t="s">
        <v>2938</v>
      </c>
      <c r="C1061" t="s">
        <v>19</v>
      </c>
      <c r="D1061">
        <v>37.075299999999999</v>
      </c>
      <c r="E1061">
        <v>-107.18940000000001</v>
      </c>
      <c r="F1061">
        <v>7648.4</v>
      </c>
      <c r="G1061" t="s">
        <v>1576</v>
      </c>
      <c r="K1061">
        <v>0</v>
      </c>
      <c r="O1061" t="s">
        <v>51</v>
      </c>
      <c r="Q1061" t="s">
        <v>2284</v>
      </c>
    </row>
    <row r="1062" spans="1:17" x14ac:dyDescent="0.25">
      <c r="A1062" t="s">
        <v>2939</v>
      </c>
      <c r="B1062" t="s">
        <v>2940</v>
      </c>
      <c r="C1062" t="s">
        <v>19</v>
      </c>
      <c r="D1062">
        <v>37.085299999999997</v>
      </c>
      <c r="E1062">
        <v>-106.6889</v>
      </c>
      <c r="F1062">
        <v>7940.6</v>
      </c>
      <c r="G1062" t="s">
        <v>1576</v>
      </c>
      <c r="K1062">
        <v>0</v>
      </c>
      <c r="O1062" t="s">
        <v>51</v>
      </c>
      <c r="Q1062" t="s">
        <v>2284</v>
      </c>
    </row>
    <row r="1063" spans="1:17" x14ac:dyDescent="0.25">
      <c r="A1063" t="s">
        <v>2941</v>
      </c>
      <c r="B1063" t="s">
        <v>2942</v>
      </c>
      <c r="C1063" t="s">
        <v>19</v>
      </c>
      <c r="D1063">
        <v>37.200800000000001</v>
      </c>
      <c r="E1063">
        <v>-108.6972</v>
      </c>
      <c r="F1063">
        <v>5600</v>
      </c>
      <c r="G1063" t="s">
        <v>1576</v>
      </c>
      <c r="K1063">
        <v>0</v>
      </c>
      <c r="O1063" t="s">
        <v>51</v>
      </c>
      <c r="Q1063" t="s">
        <v>2284</v>
      </c>
    </row>
    <row r="1064" spans="1:17" x14ac:dyDescent="0.25">
      <c r="A1064" t="s">
        <v>2175</v>
      </c>
      <c r="B1064" t="s">
        <v>2176</v>
      </c>
      <c r="C1064" t="s">
        <v>1604</v>
      </c>
      <c r="D1064">
        <v>36.049999999999997</v>
      </c>
      <c r="E1064">
        <v>-114.8</v>
      </c>
      <c r="G1064" t="s">
        <v>1589</v>
      </c>
      <c r="K1064">
        <v>0</v>
      </c>
      <c r="O1064" t="s">
        <v>20</v>
      </c>
      <c r="Q1064" t="s">
        <v>1988</v>
      </c>
    </row>
    <row r="1065" spans="1:17" x14ac:dyDescent="0.25">
      <c r="A1065" t="s">
        <v>998</v>
      </c>
      <c r="B1065" t="s">
        <v>999</v>
      </c>
      <c r="C1065" t="s">
        <v>41</v>
      </c>
      <c r="D1065">
        <v>48.459719999999997</v>
      </c>
      <c r="E1065">
        <v>-107.63306</v>
      </c>
      <c r="K1065">
        <v>0</v>
      </c>
      <c r="O1065" t="s">
        <v>34</v>
      </c>
      <c r="Q1065" t="s">
        <v>21</v>
      </c>
    </row>
    <row r="1066" spans="1:17" x14ac:dyDescent="0.25">
      <c r="A1066" t="s">
        <v>1034</v>
      </c>
      <c r="B1066" t="s">
        <v>1035</v>
      </c>
      <c r="C1066" t="s">
        <v>41</v>
      </c>
      <c r="D1066">
        <v>48.524439999999998</v>
      </c>
      <c r="E1066">
        <v>-107.51083</v>
      </c>
      <c r="K1066">
        <v>0</v>
      </c>
      <c r="O1066" t="s">
        <v>34</v>
      </c>
      <c r="Q1066" t="s">
        <v>21</v>
      </c>
    </row>
    <row r="1067" spans="1:17" x14ac:dyDescent="0.25">
      <c r="A1067" t="s">
        <v>1000</v>
      </c>
      <c r="B1067" t="s">
        <v>1001</v>
      </c>
      <c r="C1067" t="s">
        <v>41</v>
      </c>
      <c r="D1067">
        <v>48.529719999999998</v>
      </c>
      <c r="E1067">
        <v>-107.51862</v>
      </c>
      <c r="K1067">
        <v>0</v>
      </c>
      <c r="O1067" t="s">
        <v>30</v>
      </c>
      <c r="P1067" t="s">
        <v>324</v>
      </c>
      <c r="Q1067" t="s">
        <v>21</v>
      </c>
    </row>
    <row r="1068" spans="1:17" x14ac:dyDescent="0.25">
      <c r="A1068" t="s">
        <v>1056</v>
      </c>
      <c r="B1068" t="s">
        <v>1057</v>
      </c>
      <c r="C1068" t="s">
        <v>41</v>
      </c>
      <c r="D1068">
        <v>48.52778</v>
      </c>
      <c r="E1068">
        <v>-107.51667</v>
      </c>
      <c r="K1068">
        <v>0</v>
      </c>
      <c r="O1068" t="s">
        <v>34</v>
      </c>
      <c r="Q1068" t="s">
        <v>21</v>
      </c>
    </row>
    <row r="1069" spans="1:17" x14ac:dyDescent="0.25">
      <c r="A1069" t="s">
        <v>1002</v>
      </c>
      <c r="B1069" t="s">
        <v>1003</v>
      </c>
      <c r="C1069" t="s">
        <v>41</v>
      </c>
      <c r="D1069">
        <v>48.524439999999998</v>
      </c>
      <c r="E1069">
        <v>-107.51083</v>
      </c>
      <c r="K1069">
        <v>0</v>
      </c>
      <c r="O1069" t="s">
        <v>34</v>
      </c>
      <c r="Q1069" t="s">
        <v>21</v>
      </c>
    </row>
    <row r="1070" spans="1:17" x14ac:dyDescent="0.25">
      <c r="A1070" t="s">
        <v>2177</v>
      </c>
      <c r="B1070" t="s">
        <v>2178</v>
      </c>
      <c r="C1070" t="s">
        <v>1604</v>
      </c>
      <c r="D1070">
        <v>36.049999999999997</v>
      </c>
      <c r="E1070">
        <v>-114.82</v>
      </c>
      <c r="G1070" t="s">
        <v>1589</v>
      </c>
      <c r="K1070">
        <v>0</v>
      </c>
      <c r="O1070" t="s">
        <v>20</v>
      </c>
      <c r="Q1070" t="s">
        <v>1988</v>
      </c>
    </row>
    <row r="1071" spans="1:17" x14ac:dyDescent="0.25">
      <c r="A1071" t="s">
        <v>1006</v>
      </c>
      <c r="B1071" t="s">
        <v>1007</v>
      </c>
      <c r="C1071" t="s">
        <v>19</v>
      </c>
      <c r="D1071">
        <v>40.4</v>
      </c>
      <c r="E1071">
        <v>-105.95</v>
      </c>
      <c r="F1071">
        <v>9540</v>
      </c>
      <c r="K1071">
        <v>0</v>
      </c>
      <c r="O1071" t="s">
        <v>57</v>
      </c>
      <c r="Q1071" t="s">
        <v>21</v>
      </c>
    </row>
    <row r="1072" spans="1:17" x14ac:dyDescent="0.25">
      <c r="A1072" t="s">
        <v>2943</v>
      </c>
      <c r="B1072" t="s">
        <v>2944</v>
      </c>
      <c r="C1072" t="s">
        <v>37</v>
      </c>
      <c r="D1072">
        <v>43.116700000000002</v>
      </c>
      <c r="E1072">
        <v>-109.95</v>
      </c>
      <c r="F1072">
        <v>8340</v>
      </c>
      <c r="G1072" t="s">
        <v>1576</v>
      </c>
      <c r="K1072">
        <v>0</v>
      </c>
      <c r="O1072" t="s">
        <v>57</v>
      </c>
      <c r="Q1072" t="s">
        <v>2284</v>
      </c>
    </row>
    <row r="1073" spans="1:17" x14ac:dyDescent="0.25">
      <c r="A1073" t="s">
        <v>3510</v>
      </c>
      <c r="B1073" t="s">
        <v>3511</v>
      </c>
      <c r="C1073" t="s">
        <v>1643</v>
      </c>
      <c r="D1073">
        <v>37.948099999999997</v>
      </c>
      <c r="E1073">
        <v>-120.52500000000001</v>
      </c>
      <c r="F1073">
        <v>1135</v>
      </c>
      <c r="G1073" t="s">
        <v>1589</v>
      </c>
      <c r="K1073">
        <v>0</v>
      </c>
      <c r="O1073" t="s">
        <v>51</v>
      </c>
      <c r="Q1073" t="s">
        <v>3478</v>
      </c>
    </row>
    <row r="1074" spans="1:17" x14ac:dyDescent="0.25">
      <c r="A1074" t="s">
        <v>3508</v>
      </c>
      <c r="B1074" t="s">
        <v>3509</v>
      </c>
      <c r="C1074" t="s">
        <v>1643</v>
      </c>
      <c r="D1074">
        <v>37.948099999999997</v>
      </c>
      <c r="E1074">
        <v>-120.52500000000001</v>
      </c>
      <c r="F1074">
        <v>1135</v>
      </c>
      <c r="G1074" t="s">
        <v>1589</v>
      </c>
      <c r="K1074">
        <v>0</v>
      </c>
      <c r="O1074" t="s">
        <v>30</v>
      </c>
      <c r="Q1074" t="s">
        <v>3478</v>
      </c>
    </row>
    <row r="1075" spans="1:17" x14ac:dyDescent="0.25">
      <c r="A1075" t="s">
        <v>2945</v>
      </c>
      <c r="B1075" t="s">
        <v>2946</v>
      </c>
      <c r="C1075" t="s">
        <v>1622</v>
      </c>
      <c r="D1075">
        <v>41.531599999999997</v>
      </c>
      <c r="E1075">
        <v>-111.5834</v>
      </c>
      <c r="F1075">
        <v>4775.8999999999996</v>
      </c>
      <c r="G1075" t="s">
        <v>1576</v>
      </c>
      <c r="K1075">
        <v>0</v>
      </c>
      <c r="O1075" t="s">
        <v>30</v>
      </c>
      <c r="Q1075" t="s">
        <v>2284</v>
      </c>
    </row>
    <row r="1076" spans="1:17" x14ac:dyDescent="0.25">
      <c r="A1076" t="s">
        <v>1028</v>
      </c>
      <c r="B1076" t="s">
        <v>1029</v>
      </c>
      <c r="C1076" t="s">
        <v>19</v>
      </c>
      <c r="D1076">
        <v>40.049999999999997</v>
      </c>
      <c r="E1076">
        <v>-105.55</v>
      </c>
      <c r="F1076">
        <v>9850</v>
      </c>
      <c r="K1076">
        <v>0</v>
      </c>
      <c r="O1076" t="s">
        <v>57</v>
      </c>
      <c r="Q1076" t="s">
        <v>21</v>
      </c>
    </row>
    <row r="1077" spans="1:17" x14ac:dyDescent="0.25">
      <c r="A1077" t="s">
        <v>1038</v>
      </c>
      <c r="B1077" t="s">
        <v>1039</v>
      </c>
      <c r="C1077" t="s">
        <v>19</v>
      </c>
      <c r="D1077">
        <v>39.188609999999997</v>
      </c>
      <c r="E1077">
        <v>-106.67916</v>
      </c>
      <c r="K1077">
        <v>0</v>
      </c>
      <c r="O1077" t="s">
        <v>20</v>
      </c>
      <c r="Q1077" t="s">
        <v>21</v>
      </c>
    </row>
    <row r="1078" spans="1:17" x14ac:dyDescent="0.25">
      <c r="A1078" t="s">
        <v>1273</v>
      </c>
      <c r="B1078" t="s">
        <v>1274</v>
      </c>
      <c r="C1078" t="s">
        <v>37</v>
      </c>
      <c r="D1078">
        <v>41.872219999999999</v>
      </c>
      <c r="E1078">
        <v>-107.05695</v>
      </c>
      <c r="K1078">
        <v>0</v>
      </c>
      <c r="O1078" t="s">
        <v>51</v>
      </c>
      <c r="Q1078" t="s">
        <v>21</v>
      </c>
    </row>
    <row r="1079" spans="1:17" x14ac:dyDescent="0.25">
      <c r="A1079" t="s">
        <v>1484</v>
      </c>
      <c r="B1079" t="s">
        <v>1485</v>
      </c>
      <c r="C1079" t="s">
        <v>37</v>
      </c>
      <c r="D1079">
        <v>42.240549999999999</v>
      </c>
      <c r="E1079">
        <v>-104.62694999999999</v>
      </c>
      <c r="K1079">
        <v>0</v>
      </c>
      <c r="O1079" t="s">
        <v>51</v>
      </c>
      <c r="Q1079" t="s">
        <v>21</v>
      </c>
    </row>
    <row r="1080" spans="1:17" x14ac:dyDescent="0.25">
      <c r="A1080" t="s">
        <v>1036</v>
      </c>
      <c r="B1080" t="s">
        <v>1037</v>
      </c>
      <c r="C1080" t="s">
        <v>41</v>
      </c>
      <c r="D1080">
        <v>48.15</v>
      </c>
      <c r="E1080">
        <v>-113.95</v>
      </c>
      <c r="F1080">
        <v>6040</v>
      </c>
      <c r="K1080">
        <v>0</v>
      </c>
      <c r="O1080" t="s">
        <v>57</v>
      </c>
      <c r="Q1080" t="s">
        <v>21</v>
      </c>
    </row>
    <row r="1081" spans="1:17" x14ac:dyDescent="0.25">
      <c r="A1081" t="s">
        <v>1042</v>
      </c>
      <c r="B1081" t="s">
        <v>1043</v>
      </c>
      <c r="C1081" t="s">
        <v>47</v>
      </c>
      <c r="D1081">
        <v>35.220829999999999</v>
      </c>
      <c r="E1081">
        <v>-97.218059999999994</v>
      </c>
      <c r="K1081">
        <v>0</v>
      </c>
      <c r="O1081" t="s">
        <v>30</v>
      </c>
      <c r="P1081" t="s">
        <v>48</v>
      </c>
      <c r="Q1081" t="s">
        <v>21</v>
      </c>
    </row>
    <row r="1082" spans="1:17" x14ac:dyDescent="0.25">
      <c r="A1082" t="s">
        <v>2949</v>
      </c>
      <c r="B1082" t="s">
        <v>2950</v>
      </c>
      <c r="C1082" t="s">
        <v>2283</v>
      </c>
      <c r="D1082">
        <v>37</v>
      </c>
      <c r="E1082">
        <v>-105.25</v>
      </c>
      <c r="F1082">
        <v>10600</v>
      </c>
      <c r="G1082" t="s">
        <v>1576</v>
      </c>
      <c r="K1082">
        <v>0</v>
      </c>
      <c r="O1082" t="s">
        <v>57</v>
      </c>
      <c r="Q1082" t="s">
        <v>2284</v>
      </c>
    </row>
    <row r="1083" spans="1:17" x14ac:dyDescent="0.25">
      <c r="A1083" t="s">
        <v>2951</v>
      </c>
      <c r="B1083" t="s">
        <v>2952</v>
      </c>
      <c r="C1083" t="s">
        <v>1622</v>
      </c>
      <c r="D1083">
        <v>37.873100000000001</v>
      </c>
      <c r="E1083">
        <v>-109.36579999999999</v>
      </c>
      <c r="F1083">
        <v>0</v>
      </c>
      <c r="G1083" t="s">
        <v>1576</v>
      </c>
      <c r="K1083">
        <v>0</v>
      </c>
      <c r="O1083" t="s">
        <v>51</v>
      </c>
      <c r="Q1083" t="s">
        <v>2284</v>
      </c>
    </row>
    <row r="1084" spans="1:17" x14ac:dyDescent="0.25">
      <c r="A1084" t="s">
        <v>996</v>
      </c>
      <c r="B1084" t="s">
        <v>997</v>
      </c>
      <c r="C1084" t="s">
        <v>19</v>
      </c>
      <c r="D1084">
        <v>39.336669999999998</v>
      </c>
      <c r="E1084">
        <v>-106.54304999999999</v>
      </c>
      <c r="K1084">
        <v>0</v>
      </c>
      <c r="O1084" t="s">
        <v>20</v>
      </c>
      <c r="Q1084" t="s">
        <v>21</v>
      </c>
    </row>
    <row r="1085" spans="1:17" x14ac:dyDescent="0.25">
      <c r="A1085" t="s">
        <v>1014</v>
      </c>
      <c r="B1085" t="s">
        <v>1015</v>
      </c>
      <c r="C1085" t="s">
        <v>41</v>
      </c>
      <c r="D1085">
        <v>48.970829999999999</v>
      </c>
      <c r="E1085">
        <v>-113.05528</v>
      </c>
      <c r="K1085">
        <v>0</v>
      </c>
      <c r="O1085" t="s">
        <v>51</v>
      </c>
      <c r="Q1085" t="s">
        <v>21</v>
      </c>
    </row>
    <row r="1086" spans="1:17" x14ac:dyDescent="0.25">
      <c r="A1086" t="s">
        <v>2953</v>
      </c>
      <c r="B1086" t="s">
        <v>2954</v>
      </c>
      <c r="C1086" t="s">
        <v>2283</v>
      </c>
      <c r="D1086">
        <v>35.198099999999997</v>
      </c>
      <c r="E1086">
        <v>-106.5997</v>
      </c>
      <c r="F1086">
        <v>5015</v>
      </c>
      <c r="G1086" t="s">
        <v>1576</v>
      </c>
      <c r="K1086">
        <v>0</v>
      </c>
      <c r="O1086" t="s">
        <v>51</v>
      </c>
      <c r="Q1086" t="s">
        <v>2284</v>
      </c>
    </row>
    <row r="1087" spans="1:17" x14ac:dyDescent="0.25">
      <c r="A1087" t="s">
        <v>1008</v>
      </c>
      <c r="B1087" t="s">
        <v>1009</v>
      </c>
      <c r="C1087" t="s">
        <v>41</v>
      </c>
      <c r="D1087">
        <v>48.988889999999998</v>
      </c>
      <c r="E1087">
        <v>-113.76389</v>
      </c>
      <c r="K1087">
        <v>0</v>
      </c>
      <c r="O1087" t="s">
        <v>51</v>
      </c>
      <c r="Q1087" t="s">
        <v>21</v>
      </c>
    </row>
    <row r="1088" spans="1:17" x14ac:dyDescent="0.25">
      <c r="A1088" t="s">
        <v>268</v>
      </c>
      <c r="B1088" t="s">
        <v>269</v>
      </c>
      <c r="C1088" t="s">
        <v>19</v>
      </c>
      <c r="D1088">
        <v>40.433329999999998</v>
      </c>
      <c r="E1088">
        <v>-105.33889000000001</v>
      </c>
      <c r="K1088">
        <v>0</v>
      </c>
      <c r="O1088" t="s">
        <v>51</v>
      </c>
      <c r="Q1088" t="s">
        <v>21</v>
      </c>
    </row>
    <row r="1089" spans="1:17" x14ac:dyDescent="0.25">
      <c r="A1089" t="s">
        <v>1012</v>
      </c>
      <c r="B1089" t="s">
        <v>1013</v>
      </c>
      <c r="C1089" t="s">
        <v>19</v>
      </c>
      <c r="D1089">
        <v>39.361660000000001</v>
      </c>
      <c r="E1089">
        <v>-106.53778</v>
      </c>
      <c r="K1089">
        <v>0</v>
      </c>
      <c r="O1089" t="s">
        <v>20</v>
      </c>
      <c r="Q1089" t="s">
        <v>21</v>
      </c>
    </row>
    <row r="1090" spans="1:17" x14ac:dyDescent="0.25">
      <c r="A1090" t="s">
        <v>562</v>
      </c>
      <c r="B1090" t="s">
        <v>563</v>
      </c>
      <c r="C1090" t="s">
        <v>19</v>
      </c>
      <c r="D1090">
        <v>39.342779999999998</v>
      </c>
      <c r="E1090">
        <v>-106.66528</v>
      </c>
      <c r="K1090">
        <v>0</v>
      </c>
      <c r="O1090" t="s">
        <v>51</v>
      </c>
      <c r="Q1090" t="s">
        <v>21</v>
      </c>
    </row>
    <row r="1091" spans="1:17" x14ac:dyDescent="0.25">
      <c r="A1091" t="s">
        <v>2955</v>
      </c>
      <c r="B1091" t="s">
        <v>2956</v>
      </c>
      <c r="C1091" t="s">
        <v>19</v>
      </c>
      <c r="D1091">
        <v>38.785299999999999</v>
      </c>
      <c r="E1091">
        <v>-107.83329999999999</v>
      </c>
      <c r="G1091" t="s">
        <v>1576</v>
      </c>
      <c r="K1091">
        <v>0</v>
      </c>
      <c r="O1091" t="s">
        <v>51</v>
      </c>
      <c r="Q1091" t="s">
        <v>2284</v>
      </c>
    </row>
    <row r="1092" spans="1:17" x14ac:dyDescent="0.25">
      <c r="A1092" t="s">
        <v>2957</v>
      </c>
      <c r="B1092" t="s">
        <v>2958</v>
      </c>
      <c r="C1092" t="s">
        <v>19</v>
      </c>
      <c r="D1092">
        <v>38.925800000000002</v>
      </c>
      <c r="E1092">
        <v>-107.4336</v>
      </c>
      <c r="F1092">
        <v>6280</v>
      </c>
      <c r="G1092" t="s">
        <v>1576</v>
      </c>
      <c r="K1092">
        <v>0</v>
      </c>
      <c r="O1092" t="s">
        <v>51</v>
      </c>
      <c r="Q1092" t="s">
        <v>2284</v>
      </c>
    </row>
    <row r="1093" spans="1:17" x14ac:dyDescent="0.25">
      <c r="A1093" t="s">
        <v>1024</v>
      </c>
      <c r="B1093" t="s">
        <v>1025</v>
      </c>
      <c r="C1093" t="s">
        <v>37</v>
      </c>
      <c r="D1093">
        <v>43.02722</v>
      </c>
      <c r="E1093">
        <v>-109.00055999999999</v>
      </c>
      <c r="K1093">
        <v>0</v>
      </c>
      <c r="O1093" t="s">
        <v>51</v>
      </c>
      <c r="Q1093" t="s">
        <v>21</v>
      </c>
    </row>
    <row r="1094" spans="1:17" x14ac:dyDescent="0.25">
      <c r="A1094" t="s">
        <v>1016</v>
      </c>
      <c r="B1094" t="s">
        <v>1017</v>
      </c>
      <c r="C1094" t="s">
        <v>41</v>
      </c>
      <c r="D1094">
        <v>49.021949999999997</v>
      </c>
      <c r="E1094">
        <v>-112.97112</v>
      </c>
      <c r="K1094">
        <v>0</v>
      </c>
      <c r="O1094" t="s">
        <v>51</v>
      </c>
      <c r="Q1094" t="s">
        <v>21</v>
      </c>
    </row>
    <row r="1095" spans="1:17" x14ac:dyDescent="0.25">
      <c r="A1095" t="s">
        <v>296</v>
      </c>
      <c r="B1095" t="s">
        <v>297</v>
      </c>
      <c r="C1095" t="s">
        <v>47</v>
      </c>
      <c r="D1095">
        <v>35.168059999999997</v>
      </c>
      <c r="E1095">
        <v>-99.50694</v>
      </c>
      <c r="K1095">
        <v>0</v>
      </c>
      <c r="O1095" t="s">
        <v>51</v>
      </c>
      <c r="Q1095" t="s">
        <v>21</v>
      </c>
    </row>
    <row r="1096" spans="1:17" x14ac:dyDescent="0.25">
      <c r="A1096" t="s">
        <v>1194</v>
      </c>
      <c r="B1096" t="s">
        <v>1195</v>
      </c>
      <c r="C1096" t="s">
        <v>47</v>
      </c>
      <c r="D1096">
        <v>37.28472</v>
      </c>
      <c r="E1096">
        <v>-99.621669999999995</v>
      </c>
      <c r="K1096">
        <v>0</v>
      </c>
      <c r="O1096" t="s">
        <v>51</v>
      </c>
      <c r="Q1096" t="s">
        <v>21</v>
      </c>
    </row>
    <row r="1097" spans="1:17" x14ac:dyDescent="0.25">
      <c r="A1097" t="s">
        <v>1257</v>
      </c>
      <c r="B1097" t="s">
        <v>1258</v>
      </c>
      <c r="C1097" t="s">
        <v>86</v>
      </c>
      <c r="D1097">
        <v>35.26417</v>
      </c>
      <c r="E1097">
        <v>-100.24139</v>
      </c>
      <c r="K1097">
        <v>0</v>
      </c>
      <c r="O1097" t="s">
        <v>51</v>
      </c>
      <c r="Q1097" t="s">
        <v>21</v>
      </c>
    </row>
    <row r="1098" spans="1:17" x14ac:dyDescent="0.25">
      <c r="A1098" t="s">
        <v>1020</v>
      </c>
      <c r="B1098" t="s">
        <v>1021</v>
      </c>
      <c r="C1098" t="s">
        <v>37</v>
      </c>
      <c r="D1098">
        <v>44.479170000000003</v>
      </c>
      <c r="E1098">
        <v>-109.4911</v>
      </c>
      <c r="K1098">
        <v>0</v>
      </c>
      <c r="O1098" t="s">
        <v>51</v>
      </c>
      <c r="Q1098" t="s">
        <v>21</v>
      </c>
    </row>
    <row r="1099" spans="1:17" x14ac:dyDescent="0.25">
      <c r="A1099" t="s">
        <v>1297</v>
      </c>
      <c r="B1099" t="s">
        <v>1298</v>
      </c>
      <c r="C1099" t="s">
        <v>44</v>
      </c>
      <c r="D1099">
        <v>39.677779999999998</v>
      </c>
      <c r="E1099">
        <v>-99.308329999999998</v>
      </c>
      <c r="K1099">
        <v>0</v>
      </c>
      <c r="O1099" t="s">
        <v>51</v>
      </c>
      <c r="Q1099" t="s">
        <v>21</v>
      </c>
    </row>
    <row r="1100" spans="1:17" x14ac:dyDescent="0.25">
      <c r="A1100" t="s">
        <v>1303</v>
      </c>
      <c r="B1100" t="s">
        <v>1304</v>
      </c>
      <c r="C1100" t="s">
        <v>44</v>
      </c>
      <c r="D1100">
        <v>39.554160000000003</v>
      </c>
      <c r="E1100">
        <v>-98.691950000000006</v>
      </c>
      <c r="K1100">
        <v>0</v>
      </c>
      <c r="O1100" t="s">
        <v>51</v>
      </c>
      <c r="Q1100" t="s">
        <v>21</v>
      </c>
    </row>
    <row r="1101" spans="1:17" x14ac:dyDescent="0.25">
      <c r="A1101" t="s">
        <v>1022</v>
      </c>
      <c r="B1101" t="s">
        <v>1023</v>
      </c>
      <c r="C1101" t="s">
        <v>41</v>
      </c>
      <c r="D1101">
        <v>47.640830000000001</v>
      </c>
      <c r="E1101">
        <v>-112.85944000000001</v>
      </c>
      <c r="K1101">
        <v>0</v>
      </c>
      <c r="O1101" t="s">
        <v>51</v>
      </c>
      <c r="Q1101" t="s">
        <v>21</v>
      </c>
    </row>
    <row r="1102" spans="1:17" x14ac:dyDescent="0.25">
      <c r="A1102" t="s">
        <v>1010</v>
      </c>
      <c r="B1102" t="s">
        <v>1011</v>
      </c>
      <c r="C1102" t="s">
        <v>37</v>
      </c>
      <c r="D1102">
        <v>41.333329999999997</v>
      </c>
      <c r="E1102">
        <v>-106.36667</v>
      </c>
      <c r="F1102">
        <v>10130</v>
      </c>
      <c r="K1102">
        <v>0</v>
      </c>
      <c r="O1102" t="s">
        <v>57</v>
      </c>
      <c r="Q1102" t="s">
        <v>21</v>
      </c>
    </row>
    <row r="1103" spans="1:17" x14ac:dyDescent="0.25">
      <c r="A1103" t="s">
        <v>2179</v>
      </c>
      <c r="B1103" t="s">
        <v>2180</v>
      </c>
      <c r="C1103" t="s">
        <v>1987</v>
      </c>
      <c r="D1103">
        <v>32.869999999999997</v>
      </c>
      <c r="E1103">
        <v>-114.48</v>
      </c>
      <c r="G1103" t="s">
        <v>1576</v>
      </c>
      <c r="K1103">
        <v>0</v>
      </c>
      <c r="O1103" t="s">
        <v>20</v>
      </c>
      <c r="Q1103" t="s">
        <v>1988</v>
      </c>
    </row>
    <row r="1104" spans="1:17" x14ac:dyDescent="0.25">
      <c r="A1104" t="s">
        <v>2181</v>
      </c>
      <c r="B1104" t="s">
        <v>2182</v>
      </c>
      <c r="C1104" t="s">
        <v>1987</v>
      </c>
      <c r="D1104">
        <v>32.880000000000003</v>
      </c>
      <c r="E1104">
        <v>-114.46</v>
      </c>
      <c r="G1104" t="s">
        <v>1576</v>
      </c>
      <c r="K1104">
        <v>0</v>
      </c>
      <c r="O1104" t="s">
        <v>20</v>
      </c>
      <c r="Q1104" t="s">
        <v>1988</v>
      </c>
    </row>
    <row r="1105" spans="1:17" x14ac:dyDescent="0.25">
      <c r="A1105" t="s">
        <v>2959</v>
      </c>
      <c r="B1105" t="s">
        <v>2960</v>
      </c>
      <c r="C1105" t="s">
        <v>19</v>
      </c>
      <c r="D1105">
        <v>39.066699999999997</v>
      </c>
      <c r="E1105">
        <v>-107.86669999999999</v>
      </c>
      <c r="F1105">
        <v>9200</v>
      </c>
      <c r="G1105" t="s">
        <v>1576</v>
      </c>
      <c r="K1105">
        <v>0</v>
      </c>
      <c r="O1105" t="s">
        <v>57</v>
      </c>
      <c r="Q1105" t="s">
        <v>2284</v>
      </c>
    </row>
    <row r="1106" spans="1:17" x14ac:dyDescent="0.25">
      <c r="A1106" t="s">
        <v>1044</v>
      </c>
      <c r="B1106" t="s">
        <v>1045</v>
      </c>
      <c r="C1106" t="s">
        <v>37</v>
      </c>
      <c r="D1106">
        <v>42.853610000000003</v>
      </c>
      <c r="E1106">
        <v>-106.33139</v>
      </c>
      <c r="K1106">
        <v>0</v>
      </c>
      <c r="O1106" t="s">
        <v>51</v>
      </c>
      <c r="Q1106" t="s">
        <v>21</v>
      </c>
    </row>
    <row r="1107" spans="1:17" x14ac:dyDescent="0.25">
      <c r="A1107" t="s">
        <v>1074</v>
      </c>
      <c r="B1107" t="s">
        <v>1075</v>
      </c>
      <c r="C1107" t="s">
        <v>37</v>
      </c>
      <c r="D1107">
        <v>42.655830000000002</v>
      </c>
      <c r="E1107">
        <v>-105.18333</v>
      </c>
      <c r="K1107">
        <v>0</v>
      </c>
      <c r="O1107" t="s">
        <v>51</v>
      </c>
      <c r="Q1107" t="s">
        <v>21</v>
      </c>
    </row>
    <row r="1108" spans="1:17" x14ac:dyDescent="0.25">
      <c r="A1108" t="s">
        <v>1048</v>
      </c>
      <c r="B1108" t="s">
        <v>1049</v>
      </c>
      <c r="C1108" t="s">
        <v>37</v>
      </c>
      <c r="D1108">
        <v>42.652500000000003</v>
      </c>
      <c r="E1108">
        <v>-105.15916</v>
      </c>
      <c r="K1108">
        <v>0</v>
      </c>
      <c r="O1108" t="s">
        <v>51</v>
      </c>
      <c r="Q1108" t="s">
        <v>21</v>
      </c>
    </row>
    <row r="1109" spans="1:17" x14ac:dyDescent="0.25">
      <c r="A1109" t="s">
        <v>682</v>
      </c>
      <c r="B1109" t="s">
        <v>683</v>
      </c>
      <c r="C1109" t="s">
        <v>37</v>
      </c>
      <c r="D1109">
        <v>41.990279999999998</v>
      </c>
      <c r="E1109">
        <v>-104.04916</v>
      </c>
      <c r="F1109">
        <v>4021</v>
      </c>
      <c r="H1109" s="1">
        <v>32874</v>
      </c>
      <c r="K1109">
        <v>0</v>
      </c>
      <c r="O1109" t="s">
        <v>51</v>
      </c>
      <c r="P1109" t="s">
        <v>684</v>
      </c>
      <c r="Q1109" t="s">
        <v>21</v>
      </c>
    </row>
    <row r="1110" spans="1:17" x14ac:dyDescent="0.25">
      <c r="A1110" t="s">
        <v>1082</v>
      </c>
      <c r="B1110" t="s">
        <v>1083</v>
      </c>
      <c r="C1110" t="s">
        <v>37</v>
      </c>
      <c r="D1110">
        <v>42.465000000000003</v>
      </c>
      <c r="E1110">
        <v>-106.84639</v>
      </c>
      <c r="K1110">
        <v>0</v>
      </c>
      <c r="O1110" t="s">
        <v>51</v>
      </c>
      <c r="Q1110" t="s">
        <v>21</v>
      </c>
    </row>
    <row r="1111" spans="1:17" x14ac:dyDescent="0.25">
      <c r="A1111" t="s">
        <v>1026</v>
      </c>
      <c r="B1111" t="s">
        <v>1027</v>
      </c>
      <c r="C1111" t="s">
        <v>19</v>
      </c>
      <c r="D1111">
        <v>40.9375</v>
      </c>
      <c r="E1111">
        <v>-106.33778</v>
      </c>
      <c r="K1111">
        <v>0</v>
      </c>
      <c r="O1111" t="s">
        <v>51</v>
      </c>
      <c r="Q1111" t="s">
        <v>21</v>
      </c>
    </row>
    <row r="1112" spans="1:17" x14ac:dyDescent="0.25">
      <c r="A1112" t="s">
        <v>644</v>
      </c>
      <c r="B1112" t="s">
        <v>645</v>
      </c>
      <c r="C1112" t="s">
        <v>37</v>
      </c>
      <c r="D1112">
        <v>42.836109999999998</v>
      </c>
      <c r="E1112">
        <v>-105.75833</v>
      </c>
      <c r="K1112">
        <v>0</v>
      </c>
      <c r="O1112" t="s">
        <v>51</v>
      </c>
      <c r="Q1112" t="s">
        <v>21</v>
      </c>
    </row>
    <row r="1113" spans="1:17" x14ac:dyDescent="0.25">
      <c r="A1113" t="s">
        <v>1422</v>
      </c>
      <c r="B1113" t="s">
        <v>1423</v>
      </c>
      <c r="C1113" t="s">
        <v>26</v>
      </c>
      <c r="D1113">
        <v>41.984439999999999</v>
      </c>
      <c r="E1113">
        <v>-104.03111</v>
      </c>
      <c r="K1113">
        <v>0</v>
      </c>
      <c r="O1113" t="s">
        <v>34</v>
      </c>
      <c r="Q1113" t="s">
        <v>21</v>
      </c>
    </row>
    <row r="1114" spans="1:17" x14ac:dyDescent="0.25">
      <c r="A1114" t="s">
        <v>1040</v>
      </c>
      <c r="B1114" t="s">
        <v>1041</v>
      </c>
      <c r="C1114" t="s">
        <v>41</v>
      </c>
      <c r="D1114">
        <v>45</v>
      </c>
      <c r="E1114">
        <v>-110</v>
      </c>
      <c r="F1114">
        <v>7350</v>
      </c>
      <c r="K1114">
        <v>0</v>
      </c>
      <c r="O1114" t="s">
        <v>57</v>
      </c>
      <c r="Q1114" t="s">
        <v>21</v>
      </c>
    </row>
    <row r="1115" spans="1:17" x14ac:dyDescent="0.25">
      <c r="A1115" t="s">
        <v>1018</v>
      </c>
      <c r="B1115" t="s">
        <v>1019</v>
      </c>
      <c r="C1115" t="s">
        <v>26</v>
      </c>
      <c r="D1115">
        <v>41.79083</v>
      </c>
      <c r="E1115">
        <v>-103.20667</v>
      </c>
      <c r="K1115">
        <v>0</v>
      </c>
      <c r="O1115" t="s">
        <v>34</v>
      </c>
      <c r="Q1115" t="s">
        <v>21</v>
      </c>
    </row>
    <row r="1116" spans="1:17" x14ac:dyDescent="0.25">
      <c r="A1116" t="s">
        <v>1050</v>
      </c>
      <c r="B1116" t="s">
        <v>1051</v>
      </c>
      <c r="C1116" t="s">
        <v>86</v>
      </c>
      <c r="D1116">
        <v>27.933330000000002</v>
      </c>
      <c r="E1116">
        <v>-97.766670000000005</v>
      </c>
      <c r="K1116">
        <v>0</v>
      </c>
      <c r="O1116" t="s">
        <v>51</v>
      </c>
      <c r="Q1116" t="s">
        <v>21</v>
      </c>
    </row>
    <row r="1117" spans="1:17" x14ac:dyDescent="0.25">
      <c r="A1117" t="s">
        <v>994</v>
      </c>
      <c r="B1117" t="s">
        <v>995</v>
      </c>
      <c r="C1117" t="s">
        <v>86</v>
      </c>
      <c r="D1117">
        <v>28.426110000000001</v>
      </c>
      <c r="E1117">
        <v>-99.239720000000005</v>
      </c>
      <c r="K1117">
        <v>0</v>
      </c>
      <c r="O1117" t="s">
        <v>51</v>
      </c>
      <c r="Q1117" t="s">
        <v>21</v>
      </c>
    </row>
    <row r="1118" spans="1:17" x14ac:dyDescent="0.25">
      <c r="A1118" t="s">
        <v>1052</v>
      </c>
      <c r="B1118" t="s">
        <v>1053</v>
      </c>
      <c r="C1118" t="s">
        <v>86</v>
      </c>
      <c r="D1118">
        <v>28.038060000000002</v>
      </c>
      <c r="E1118">
        <v>-97.86</v>
      </c>
      <c r="K1118">
        <v>0</v>
      </c>
      <c r="O1118" t="s">
        <v>51</v>
      </c>
      <c r="Q1118" t="s">
        <v>21</v>
      </c>
    </row>
    <row r="1119" spans="1:17" x14ac:dyDescent="0.25">
      <c r="A1119" t="s">
        <v>1058</v>
      </c>
      <c r="B1119" t="s">
        <v>1059</v>
      </c>
      <c r="C1119" t="s">
        <v>86</v>
      </c>
      <c r="D1119">
        <v>28.427219999999998</v>
      </c>
      <c r="E1119">
        <v>-98.177769999999995</v>
      </c>
      <c r="K1119">
        <v>0</v>
      </c>
      <c r="O1119" t="s">
        <v>51</v>
      </c>
      <c r="Q1119" t="s">
        <v>21</v>
      </c>
    </row>
    <row r="1120" spans="1:17" x14ac:dyDescent="0.25">
      <c r="A1120" t="s">
        <v>1054</v>
      </c>
      <c r="B1120" t="s">
        <v>1055</v>
      </c>
      <c r="C1120" t="s">
        <v>86</v>
      </c>
      <c r="D1120">
        <v>28.308610000000002</v>
      </c>
      <c r="E1120">
        <v>-98.556950000000001</v>
      </c>
      <c r="K1120">
        <v>0</v>
      </c>
      <c r="O1120" t="s">
        <v>51</v>
      </c>
      <c r="Q1120" t="s">
        <v>21</v>
      </c>
    </row>
    <row r="1121" spans="1:17" x14ac:dyDescent="0.25">
      <c r="A1121" t="s">
        <v>1066</v>
      </c>
      <c r="B1121" t="s">
        <v>1067</v>
      </c>
      <c r="C1121" t="s">
        <v>37</v>
      </c>
      <c r="D1121">
        <v>43.198889999999999</v>
      </c>
      <c r="E1121">
        <v>-108.56889</v>
      </c>
      <c r="K1121">
        <v>0</v>
      </c>
      <c r="O1121" t="s">
        <v>34</v>
      </c>
      <c r="Q1121" t="s">
        <v>21</v>
      </c>
    </row>
    <row r="1122" spans="1:17" x14ac:dyDescent="0.25">
      <c r="A1122" t="s">
        <v>1846</v>
      </c>
      <c r="B1122" t="s">
        <v>1847</v>
      </c>
      <c r="C1122" t="s">
        <v>1628</v>
      </c>
      <c r="D1122">
        <v>47.308880000000002</v>
      </c>
      <c r="E1122">
        <v>-118.87860999999999</v>
      </c>
      <c r="F1122">
        <v>502.92</v>
      </c>
      <c r="G1122" t="s">
        <v>1589</v>
      </c>
      <c r="H1122" s="1">
        <v>30773</v>
      </c>
      <c r="J1122" t="s">
        <v>1577</v>
      </c>
      <c r="K1122">
        <v>0</v>
      </c>
      <c r="L1122" t="s">
        <v>1578</v>
      </c>
      <c r="O1122" t="s">
        <v>151</v>
      </c>
      <c r="P1122" t="s">
        <v>1585</v>
      </c>
      <c r="Q1122" t="s">
        <v>1580</v>
      </c>
    </row>
    <row r="1123" spans="1:17" x14ac:dyDescent="0.25">
      <c r="A1123" t="s">
        <v>2961</v>
      </c>
      <c r="B1123" t="s">
        <v>2962</v>
      </c>
      <c r="C1123" t="s">
        <v>19</v>
      </c>
      <c r="D1123">
        <v>38.587800000000001</v>
      </c>
      <c r="E1123">
        <v>-106.9308</v>
      </c>
      <c r="G1123" t="s">
        <v>1576</v>
      </c>
      <c r="K1123">
        <v>0</v>
      </c>
      <c r="O1123" t="s">
        <v>51</v>
      </c>
      <c r="Q1123" t="s">
        <v>2284</v>
      </c>
    </row>
    <row r="1124" spans="1:17" x14ac:dyDescent="0.25">
      <c r="A1124" t="s">
        <v>2963</v>
      </c>
      <c r="B1124" t="s">
        <v>2964</v>
      </c>
      <c r="C1124" t="s">
        <v>19</v>
      </c>
      <c r="D1124">
        <v>38.702199999999998</v>
      </c>
      <c r="E1124">
        <v>-106.9978</v>
      </c>
      <c r="F1124">
        <v>8230</v>
      </c>
      <c r="G1124" t="s">
        <v>1576</v>
      </c>
      <c r="K1124">
        <v>0</v>
      </c>
      <c r="O1124" t="s">
        <v>51</v>
      </c>
      <c r="Q1124" t="s">
        <v>2284</v>
      </c>
    </row>
    <row r="1125" spans="1:17" x14ac:dyDescent="0.25">
      <c r="A1125" t="s">
        <v>2965</v>
      </c>
      <c r="B1125" t="s">
        <v>2966</v>
      </c>
      <c r="C1125" t="s">
        <v>37</v>
      </c>
      <c r="D1125">
        <v>41.15</v>
      </c>
      <c r="E1125">
        <v>-107.9667</v>
      </c>
      <c r="F1125">
        <v>9920</v>
      </c>
      <c r="G1125" t="s">
        <v>1576</v>
      </c>
      <c r="K1125">
        <v>0</v>
      </c>
      <c r="O1125" t="s">
        <v>57</v>
      </c>
      <c r="Q1125" t="s">
        <v>2284</v>
      </c>
    </row>
    <row r="1126" spans="1:17" x14ac:dyDescent="0.25">
      <c r="A1126" t="s">
        <v>1062</v>
      </c>
      <c r="B1126" t="s">
        <v>1063</v>
      </c>
      <c r="C1126" t="s">
        <v>19</v>
      </c>
      <c r="D1126">
        <v>41.001390000000001</v>
      </c>
      <c r="E1126">
        <v>-107.24444</v>
      </c>
      <c r="F1126">
        <v>10000</v>
      </c>
      <c r="K1126">
        <v>0</v>
      </c>
      <c r="O1126" t="s">
        <v>57</v>
      </c>
      <c r="Q1126" t="s">
        <v>21</v>
      </c>
    </row>
    <row r="1127" spans="1:17" x14ac:dyDescent="0.25">
      <c r="A1127" t="s">
        <v>1068</v>
      </c>
      <c r="B1127" t="s">
        <v>1069</v>
      </c>
      <c r="C1127" t="s">
        <v>19</v>
      </c>
      <c r="D1127">
        <v>40.373049999999999</v>
      </c>
      <c r="E1127">
        <v>-105.48778</v>
      </c>
      <c r="K1127">
        <v>0</v>
      </c>
      <c r="O1127" t="s">
        <v>30</v>
      </c>
      <c r="P1127" t="s">
        <v>38</v>
      </c>
      <c r="Q1127" t="s">
        <v>21</v>
      </c>
    </row>
    <row r="1128" spans="1:17" x14ac:dyDescent="0.25">
      <c r="A1128" t="s">
        <v>1070</v>
      </c>
      <c r="B1128" t="s">
        <v>1071</v>
      </c>
      <c r="C1128" t="s">
        <v>19</v>
      </c>
      <c r="D1128">
        <v>40.375</v>
      </c>
      <c r="E1128">
        <v>-105.48694</v>
      </c>
      <c r="K1128">
        <v>0</v>
      </c>
      <c r="O1128" t="s">
        <v>34</v>
      </c>
      <c r="Q1128" t="s">
        <v>21</v>
      </c>
    </row>
    <row r="1129" spans="1:17" x14ac:dyDescent="0.25">
      <c r="A1129" t="s">
        <v>1848</v>
      </c>
      <c r="B1129" t="s">
        <v>1849</v>
      </c>
      <c r="C1129" t="s">
        <v>1628</v>
      </c>
      <c r="D1129">
        <v>48.402500000000003</v>
      </c>
      <c r="E1129">
        <v>-119.57611</v>
      </c>
      <c r="F1129">
        <v>376.43</v>
      </c>
      <c r="G1129" t="s">
        <v>1589</v>
      </c>
      <c r="H1129" s="1">
        <v>32509</v>
      </c>
      <c r="J1129" t="s">
        <v>1577</v>
      </c>
      <c r="K1129">
        <v>0</v>
      </c>
      <c r="L1129" t="s">
        <v>1578</v>
      </c>
      <c r="O1129" t="s">
        <v>151</v>
      </c>
      <c r="P1129" t="s">
        <v>1585</v>
      </c>
      <c r="Q1129" t="s">
        <v>1580</v>
      </c>
    </row>
    <row r="1130" spans="1:17" x14ac:dyDescent="0.25">
      <c r="A1130" t="s">
        <v>1850</v>
      </c>
      <c r="B1130" t="s">
        <v>1851</v>
      </c>
      <c r="C1130" t="s">
        <v>1588</v>
      </c>
      <c r="D1130">
        <v>43.97777</v>
      </c>
      <c r="E1130">
        <v>-117.01527</v>
      </c>
      <c r="F1130">
        <v>688.85</v>
      </c>
      <c r="G1130" t="s">
        <v>1576</v>
      </c>
      <c r="H1130" s="1">
        <v>33724</v>
      </c>
      <c r="J1130" t="s">
        <v>1577</v>
      </c>
      <c r="K1130">
        <v>0</v>
      </c>
      <c r="L1130" t="s">
        <v>1578</v>
      </c>
      <c r="O1130" t="s">
        <v>151</v>
      </c>
      <c r="P1130" t="s">
        <v>1585</v>
      </c>
      <c r="Q1130" t="s">
        <v>1580</v>
      </c>
    </row>
    <row r="1131" spans="1:17" x14ac:dyDescent="0.25">
      <c r="A1131" t="s">
        <v>1072</v>
      </c>
      <c r="B1131" t="s">
        <v>1073</v>
      </c>
      <c r="C1131" t="s">
        <v>19</v>
      </c>
      <c r="D1131">
        <v>39.1</v>
      </c>
      <c r="E1131">
        <v>-108.32</v>
      </c>
      <c r="K1131">
        <v>0</v>
      </c>
      <c r="O1131" t="s">
        <v>34</v>
      </c>
      <c r="Q1131" t="s">
        <v>21</v>
      </c>
    </row>
    <row r="1132" spans="1:17" x14ac:dyDescent="0.25">
      <c r="A1132" t="s">
        <v>1076</v>
      </c>
      <c r="B1132" t="s">
        <v>1077</v>
      </c>
      <c r="C1132" t="s">
        <v>44</v>
      </c>
      <c r="D1132">
        <v>39.447220000000002</v>
      </c>
      <c r="E1132">
        <v>-99.098609999999994</v>
      </c>
      <c r="K1132">
        <v>0</v>
      </c>
      <c r="O1132" t="s">
        <v>34</v>
      </c>
      <c r="Q1132" t="s">
        <v>21</v>
      </c>
    </row>
    <row r="1133" spans="1:17" x14ac:dyDescent="0.25">
      <c r="A1133" t="s">
        <v>1852</v>
      </c>
      <c r="B1133" t="s">
        <v>1853</v>
      </c>
      <c r="C1133" t="s">
        <v>410</v>
      </c>
      <c r="D1133">
        <v>43.588839999999998</v>
      </c>
      <c r="E1133">
        <v>-112.07568000000001</v>
      </c>
      <c r="F1133">
        <v>1471</v>
      </c>
      <c r="G1133" t="s">
        <v>1576</v>
      </c>
      <c r="H1133" s="1">
        <v>41711</v>
      </c>
      <c r="J1133" t="s">
        <v>1577</v>
      </c>
      <c r="K1133">
        <v>0</v>
      </c>
      <c r="L1133" t="s">
        <v>1578</v>
      </c>
      <c r="O1133" t="s">
        <v>151</v>
      </c>
      <c r="P1133" t="s">
        <v>1585</v>
      </c>
      <c r="Q1133" t="s">
        <v>1580</v>
      </c>
    </row>
    <row r="1134" spans="1:17" x14ac:dyDescent="0.25">
      <c r="A1134" t="s">
        <v>2967</v>
      </c>
      <c r="B1134" t="s">
        <v>2968</v>
      </c>
      <c r="C1134" t="s">
        <v>19</v>
      </c>
      <c r="D1134">
        <v>37.030299999999997</v>
      </c>
      <c r="E1134">
        <v>-106.7372</v>
      </c>
      <c r="G1134" t="s">
        <v>1576</v>
      </c>
      <c r="K1134">
        <v>0</v>
      </c>
      <c r="O1134" t="s">
        <v>20</v>
      </c>
      <c r="Q1134" t="s">
        <v>2284</v>
      </c>
    </row>
    <row r="1135" spans="1:17" x14ac:dyDescent="0.25">
      <c r="A1135" t="s">
        <v>2185</v>
      </c>
      <c r="B1135" t="s">
        <v>2186</v>
      </c>
      <c r="C1135" t="s">
        <v>1987</v>
      </c>
      <c r="D1135">
        <v>32.75</v>
      </c>
      <c r="E1135">
        <v>-114.5</v>
      </c>
      <c r="G1135" t="s">
        <v>1576</v>
      </c>
      <c r="K1135">
        <v>0</v>
      </c>
      <c r="O1135" t="s">
        <v>20</v>
      </c>
      <c r="Q1135" t="s">
        <v>1988</v>
      </c>
    </row>
    <row r="1136" spans="1:17" x14ac:dyDescent="0.25">
      <c r="A1136" t="s">
        <v>2187</v>
      </c>
      <c r="B1136" t="s">
        <v>2188</v>
      </c>
      <c r="C1136" t="s">
        <v>1987</v>
      </c>
      <c r="D1136">
        <v>35</v>
      </c>
      <c r="E1136">
        <v>-114.7</v>
      </c>
      <c r="G1136" t="s">
        <v>1576</v>
      </c>
      <c r="K1136">
        <v>0</v>
      </c>
      <c r="O1136" t="s">
        <v>20</v>
      </c>
      <c r="Q1136" t="s">
        <v>1988</v>
      </c>
    </row>
    <row r="1137" spans="1:17" x14ac:dyDescent="0.25">
      <c r="A1137" t="s">
        <v>2189</v>
      </c>
      <c r="B1137" t="s">
        <v>2190</v>
      </c>
      <c r="C1137" t="s">
        <v>1987</v>
      </c>
      <c r="D1137">
        <v>33.700000000000003</v>
      </c>
      <c r="E1137">
        <v>-114.3</v>
      </c>
      <c r="G1137" t="s">
        <v>1576</v>
      </c>
      <c r="K1137">
        <v>0</v>
      </c>
      <c r="O1137" t="s">
        <v>20</v>
      </c>
      <c r="Q1137" t="s">
        <v>1988</v>
      </c>
    </row>
    <row r="1138" spans="1:17" x14ac:dyDescent="0.25">
      <c r="A1138" t="s">
        <v>2183</v>
      </c>
      <c r="B1138" t="s">
        <v>2184</v>
      </c>
      <c r="C1138" t="s">
        <v>1987</v>
      </c>
      <c r="D1138">
        <v>35.5</v>
      </c>
      <c r="E1138">
        <v>-114.7</v>
      </c>
      <c r="G1138" t="s">
        <v>1576</v>
      </c>
      <c r="K1138">
        <v>0</v>
      </c>
      <c r="O1138" t="s">
        <v>20</v>
      </c>
      <c r="Q1138" t="s">
        <v>1988</v>
      </c>
    </row>
    <row r="1139" spans="1:17" x14ac:dyDescent="0.25">
      <c r="A1139" t="s">
        <v>2191</v>
      </c>
      <c r="B1139" t="s">
        <v>2192</v>
      </c>
      <c r="C1139" t="s">
        <v>1643</v>
      </c>
      <c r="D1139">
        <v>32.700000000000003</v>
      </c>
      <c r="E1139">
        <v>-114.5</v>
      </c>
      <c r="G1139" t="s">
        <v>1589</v>
      </c>
      <c r="K1139">
        <v>0</v>
      </c>
      <c r="O1139" t="s">
        <v>20</v>
      </c>
      <c r="Q1139" t="s">
        <v>1988</v>
      </c>
    </row>
    <row r="1140" spans="1:17" x14ac:dyDescent="0.25">
      <c r="A1140" t="s">
        <v>2193</v>
      </c>
      <c r="B1140" t="s">
        <v>2194</v>
      </c>
      <c r="C1140" t="s">
        <v>1643</v>
      </c>
      <c r="D1140">
        <v>34.799999999999997</v>
      </c>
      <c r="E1140">
        <v>-114.5</v>
      </c>
      <c r="G1140" t="s">
        <v>1589</v>
      </c>
      <c r="K1140">
        <v>0</v>
      </c>
      <c r="O1140" t="s">
        <v>20</v>
      </c>
      <c r="Q1140" t="s">
        <v>1988</v>
      </c>
    </row>
    <row r="1141" spans="1:17" x14ac:dyDescent="0.25">
      <c r="A1141" t="s">
        <v>2195</v>
      </c>
      <c r="B1141" t="s">
        <v>2196</v>
      </c>
      <c r="C1141" t="s">
        <v>1643</v>
      </c>
      <c r="D1141">
        <v>33.700000000000003</v>
      </c>
      <c r="E1141">
        <v>-114.5</v>
      </c>
      <c r="G1141" t="s">
        <v>1589</v>
      </c>
      <c r="K1141">
        <v>0</v>
      </c>
      <c r="O1141" t="s">
        <v>20</v>
      </c>
      <c r="Q1141" t="s">
        <v>1988</v>
      </c>
    </row>
    <row r="1142" spans="1:17" x14ac:dyDescent="0.25">
      <c r="A1142" t="s">
        <v>2197</v>
      </c>
      <c r="B1142" t="s">
        <v>2198</v>
      </c>
      <c r="C1142" t="s">
        <v>1604</v>
      </c>
      <c r="D1142">
        <v>35.1</v>
      </c>
      <c r="E1142">
        <v>-114.6</v>
      </c>
      <c r="G1142" t="s">
        <v>1589</v>
      </c>
      <c r="K1142">
        <v>0</v>
      </c>
      <c r="O1142" t="s">
        <v>20</v>
      </c>
      <c r="Q1142" t="s">
        <v>1988</v>
      </c>
    </row>
    <row r="1143" spans="1:17" x14ac:dyDescent="0.25">
      <c r="A1143" t="s">
        <v>1291</v>
      </c>
      <c r="B1143" t="s">
        <v>1292</v>
      </c>
      <c r="C1143" t="s">
        <v>47</v>
      </c>
      <c r="D1143">
        <v>34.637779999999999</v>
      </c>
      <c r="E1143">
        <v>-98.998050000000006</v>
      </c>
      <c r="K1143">
        <v>0</v>
      </c>
      <c r="O1143" t="s">
        <v>51</v>
      </c>
      <c r="Q1143" t="s">
        <v>21</v>
      </c>
    </row>
    <row r="1144" spans="1:17" x14ac:dyDescent="0.25">
      <c r="A1144" t="s">
        <v>2969</v>
      </c>
      <c r="B1144" t="s">
        <v>2970</v>
      </c>
      <c r="C1144" t="s">
        <v>19</v>
      </c>
      <c r="D1144">
        <v>39.083300000000001</v>
      </c>
      <c r="E1144">
        <v>-107.63330000000001</v>
      </c>
      <c r="F1144">
        <v>9880</v>
      </c>
      <c r="G1144" t="s">
        <v>1576</v>
      </c>
      <c r="K1144">
        <v>0</v>
      </c>
      <c r="O1144" t="s">
        <v>57</v>
      </c>
      <c r="Q1144" t="s">
        <v>2284</v>
      </c>
    </row>
    <row r="1145" spans="1:17" x14ac:dyDescent="0.25">
      <c r="A1145" t="s">
        <v>1060</v>
      </c>
      <c r="B1145" t="s">
        <v>1061</v>
      </c>
      <c r="C1145" t="s">
        <v>37</v>
      </c>
      <c r="D1145">
        <v>43.683329999999998</v>
      </c>
      <c r="E1145">
        <v>-108.3</v>
      </c>
      <c r="K1145">
        <v>0</v>
      </c>
      <c r="O1145" t="s">
        <v>51</v>
      </c>
      <c r="Q1145" t="s">
        <v>21</v>
      </c>
    </row>
    <row r="1146" spans="1:17" x14ac:dyDescent="0.25">
      <c r="A1146" t="s">
        <v>1064</v>
      </c>
      <c r="B1146" t="s">
        <v>1065</v>
      </c>
      <c r="C1146" t="s">
        <v>37</v>
      </c>
      <c r="D1146">
        <v>43.666670000000003</v>
      </c>
      <c r="E1146">
        <v>-109.01667</v>
      </c>
      <c r="F1146">
        <v>8975</v>
      </c>
      <c r="K1146">
        <v>0</v>
      </c>
      <c r="O1146" t="s">
        <v>57</v>
      </c>
      <c r="Q1146" t="s">
        <v>21</v>
      </c>
    </row>
    <row r="1147" spans="1:17" x14ac:dyDescent="0.25">
      <c r="A1147" t="s">
        <v>2199</v>
      </c>
      <c r="B1147" t="s">
        <v>2200</v>
      </c>
      <c r="C1147" t="s">
        <v>1604</v>
      </c>
      <c r="D1147">
        <v>36.15</v>
      </c>
      <c r="E1147">
        <v>-114.8</v>
      </c>
      <c r="G1147" t="s">
        <v>1589</v>
      </c>
      <c r="K1147">
        <v>0</v>
      </c>
      <c r="O1147" t="s">
        <v>20</v>
      </c>
      <c r="Q1147" t="s">
        <v>1988</v>
      </c>
    </row>
    <row r="1148" spans="1:17" x14ac:dyDescent="0.25">
      <c r="A1148" t="s">
        <v>1116</v>
      </c>
      <c r="B1148" t="s">
        <v>1117</v>
      </c>
      <c r="C1148" t="s">
        <v>29</v>
      </c>
      <c r="D1148">
        <v>44.072220000000002</v>
      </c>
      <c r="E1148">
        <v>-103.48805</v>
      </c>
      <c r="K1148">
        <v>0</v>
      </c>
      <c r="O1148" t="s">
        <v>30</v>
      </c>
      <c r="P1148" t="s">
        <v>31</v>
      </c>
      <c r="Q1148" t="s">
        <v>21</v>
      </c>
    </row>
    <row r="1149" spans="1:17" x14ac:dyDescent="0.25">
      <c r="A1149" t="s">
        <v>1856</v>
      </c>
      <c r="B1149" t="s">
        <v>1857</v>
      </c>
      <c r="C1149" t="s">
        <v>410</v>
      </c>
      <c r="D1149">
        <v>43.3381653</v>
      </c>
      <c r="E1149">
        <v>-111.2063599</v>
      </c>
      <c r="F1149">
        <v>5353</v>
      </c>
      <c r="G1149" t="s">
        <v>1576</v>
      </c>
      <c r="H1149" s="2">
        <v>0</v>
      </c>
      <c r="J1149" t="s">
        <v>1594</v>
      </c>
      <c r="K1149">
        <v>0</v>
      </c>
      <c r="L1149" t="s">
        <v>1599</v>
      </c>
      <c r="O1149" t="s">
        <v>30</v>
      </c>
      <c r="P1149" t="s">
        <v>1585</v>
      </c>
      <c r="Q1149" t="s">
        <v>1580</v>
      </c>
    </row>
    <row r="1150" spans="1:17" x14ac:dyDescent="0.25">
      <c r="A1150" t="s">
        <v>2201</v>
      </c>
      <c r="B1150" t="s">
        <v>2202</v>
      </c>
      <c r="C1150" t="s">
        <v>1643</v>
      </c>
      <c r="D1150">
        <v>33.729999999999997</v>
      </c>
      <c r="E1150">
        <v>-114.31</v>
      </c>
      <c r="G1150" t="s">
        <v>1589</v>
      </c>
      <c r="K1150">
        <v>0</v>
      </c>
      <c r="O1150" t="s">
        <v>20</v>
      </c>
      <c r="Q1150" t="s">
        <v>1988</v>
      </c>
    </row>
    <row r="1151" spans="1:17" x14ac:dyDescent="0.25">
      <c r="A1151" t="s">
        <v>2211</v>
      </c>
      <c r="B1151" t="s">
        <v>2212</v>
      </c>
      <c r="C1151" t="s">
        <v>1643</v>
      </c>
      <c r="D1151">
        <v>33.716900000000003</v>
      </c>
      <c r="E1151">
        <v>-114.5047</v>
      </c>
      <c r="G1151" t="s">
        <v>1589</v>
      </c>
      <c r="K1151">
        <v>0</v>
      </c>
      <c r="O1151" t="s">
        <v>20</v>
      </c>
      <c r="Q1151" t="s">
        <v>1988</v>
      </c>
    </row>
    <row r="1152" spans="1:17" x14ac:dyDescent="0.25">
      <c r="A1152" t="s">
        <v>2231</v>
      </c>
      <c r="B1152" t="s">
        <v>2232</v>
      </c>
      <c r="C1152" t="s">
        <v>1643</v>
      </c>
      <c r="D1152">
        <v>33.335599999999999</v>
      </c>
      <c r="E1152">
        <v>-114.7094</v>
      </c>
      <c r="G1152" t="s">
        <v>1589</v>
      </c>
      <c r="K1152">
        <v>0</v>
      </c>
      <c r="O1152" t="s">
        <v>34</v>
      </c>
      <c r="Q1152" t="s">
        <v>1988</v>
      </c>
    </row>
    <row r="1153" spans="1:17" x14ac:dyDescent="0.25">
      <c r="A1153" t="s">
        <v>2971</v>
      </c>
      <c r="B1153" t="s">
        <v>2972</v>
      </c>
      <c r="C1153" t="s">
        <v>2283</v>
      </c>
      <c r="D1153">
        <v>35.833300000000001</v>
      </c>
      <c r="E1153">
        <v>-105.66670000000001</v>
      </c>
      <c r="F1153">
        <v>8400</v>
      </c>
      <c r="G1153" t="s">
        <v>1576</v>
      </c>
      <c r="K1153">
        <v>0</v>
      </c>
      <c r="O1153" t="s">
        <v>57</v>
      </c>
      <c r="Q1153" t="s">
        <v>2284</v>
      </c>
    </row>
    <row r="1154" spans="1:17" x14ac:dyDescent="0.25">
      <c r="A1154" t="s">
        <v>2973</v>
      </c>
      <c r="B1154" t="s">
        <v>2974</v>
      </c>
      <c r="C1154" t="s">
        <v>19</v>
      </c>
      <c r="D1154">
        <v>38.944200000000002</v>
      </c>
      <c r="E1154">
        <v>-107.35169999999999</v>
      </c>
      <c r="F1154">
        <v>6447.5</v>
      </c>
      <c r="G1154" t="s">
        <v>1576</v>
      </c>
      <c r="K1154">
        <v>0</v>
      </c>
      <c r="O1154" t="s">
        <v>30</v>
      </c>
      <c r="Q1154" t="s">
        <v>2284</v>
      </c>
    </row>
    <row r="1155" spans="1:17" x14ac:dyDescent="0.25">
      <c r="A1155" t="s">
        <v>1078</v>
      </c>
      <c r="B1155" t="s">
        <v>1079</v>
      </c>
      <c r="C1155" t="s">
        <v>41</v>
      </c>
      <c r="D1155">
        <v>48.564169999999997</v>
      </c>
      <c r="E1155">
        <v>-109.18083</v>
      </c>
      <c r="K1155">
        <v>0</v>
      </c>
      <c r="O1155" t="s">
        <v>34</v>
      </c>
      <c r="Q1155" t="s">
        <v>21</v>
      </c>
    </row>
    <row r="1156" spans="1:17" x14ac:dyDescent="0.25">
      <c r="A1156" t="s">
        <v>2975</v>
      </c>
      <c r="B1156" t="s">
        <v>2976</v>
      </c>
      <c r="C1156" t="s">
        <v>1987</v>
      </c>
      <c r="D1156">
        <v>36.872199999999999</v>
      </c>
      <c r="E1156">
        <v>-111.5939</v>
      </c>
      <c r="F1156">
        <v>3123.4</v>
      </c>
      <c r="G1156" t="s">
        <v>1576</v>
      </c>
      <c r="K1156">
        <v>0</v>
      </c>
      <c r="O1156" t="s">
        <v>51</v>
      </c>
      <c r="Q1156" t="s">
        <v>2284</v>
      </c>
    </row>
    <row r="1157" spans="1:17" x14ac:dyDescent="0.25">
      <c r="A1157" t="s">
        <v>2977</v>
      </c>
      <c r="B1157" t="s">
        <v>2978</v>
      </c>
      <c r="C1157" t="s">
        <v>19</v>
      </c>
      <c r="D1157">
        <v>38.816699999999997</v>
      </c>
      <c r="E1157">
        <v>-106.58329999999999</v>
      </c>
      <c r="F1157">
        <v>9600</v>
      </c>
      <c r="G1157" t="s">
        <v>1576</v>
      </c>
      <c r="K1157">
        <v>0</v>
      </c>
      <c r="O1157" t="s">
        <v>57</v>
      </c>
      <c r="Q1157" t="s">
        <v>2284</v>
      </c>
    </row>
    <row r="1158" spans="1:17" x14ac:dyDescent="0.25">
      <c r="A1158" t="s">
        <v>2979</v>
      </c>
      <c r="B1158" t="s">
        <v>2980</v>
      </c>
      <c r="C1158" t="s">
        <v>19</v>
      </c>
      <c r="D1158">
        <v>39.033299999999997</v>
      </c>
      <c r="E1158">
        <v>-107.86669999999999</v>
      </c>
      <c r="F1158">
        <v>9960</v>
      </c>
      <c r="G1158" t="s">
        <v>1576</v>
      </c>
      <c r="K1158">
        <v>0</v>
      </c>
      <c r="O1158" t="s">
        <v>57</v>
      </c>
      <c r="Q1158" t="s">
        <v>2284</v>
      </c>
    </row>
    <row r="1159" spans="1:17" x14ac:dyDescent="0.25">
      <c r="A1159" t="s">
        <v>1862</v>
      </c>
      <c r="B1159" t="s">
        <v>1863</v>
      </c>
      <c r="C1159" t="s">
        <v>1588</v>
      </c>
      <c r="D1159">
        <v>45.544440000000002</v>
      </c>
      <c r="E1159">
        <v>-121.61666</v>
      </c>
      <c r="F1159">
        <v>451.1</v>
      </c>
      <c r="G1159" t="s">
        <v>1589</v>
      </c>
      <c r="H1159" s="1">
        <v>32448</v>
      </c>
      <c r="J1159" t="s">
        <v>1577</v>
      </c>
      <c r="K1159">
        <v>0</v>
      </c>
      <c r="L1159" t="s">
        <v>1578</v>
      </c>
      <c r="O1159" t="s">
        <v>151</v>
      </c>
      <c r="P1159" t="s">
        <v>1585</v>
      </c>
      <c r="Q1159" t="s">
        <v>1580</v>
      </c>
    </row>
    <row r="1160" spans="1:17" x14ac:dyDescent="0.25">
      <c r="A1160" t="s">
        <v>2203</v>
      </c>
      <c r="B1160" t="s">
        <v>2204</v>
      </c>
      <c r="C1160" t="s">
        <v>1643</v>
      </c>
      <c r="D1160">
        <v>34.32</v>
      </c>
      <c r="E1160">
        <v>-114.16</v>
      </c>
      <c r="G1160" t="s">
        <v>1589</v>
      </c>
      <c r="K1160">
        <v>0</v>
      </c>
      <c r="O1160" t="s">
        <v>20</v>
      </c>
      <c r="Q1160" t="s">
        <v>1988</v>
      </c>
    </row>
    <row r="1161" spans="1:17" x14ac:dyDescent="0.25">
      <c r="A1161" t="s">
        <v>1110</v>
      </c>
      <c r="B1161" t="s">
        <v>1111</v>
      </c>
      <c r="C1161" t="s">
        <v>37</v>
      </c>
      <c r="D1161">
        <v>44.733330000000002</v>
      </c>
      <c r="E1161">
        <v>-109.91665999999999</v>
      </c>
      <c r="F1161">
        <v>9400</v>
      </c>
      <c r="K1161">
        <v>0</v>
      </c>
      <c r="O1161" t="s">
        <v>57</v>
      </c>
      <c r="Q1161" t="s">
        <v>21</v>
      </c>
    </row>
    <row r="1162" spans="1:17" x14ac:dyDescent="0.25">
      <c r="A1162" t="s">
        <v>2981</v>
      </c>
      <c r="B1162" t="s">
        <v>2982</v>
      </c>
      <c r="C1162" t="s">
        <v>1622</v>
      </c>
      <c r="D1162">
        <v>40.7667</v>
      </c>
      <c r="E1162">
        <v>-111.61669999999999</v>
      </c>
      <c r="F1162">
        <v>7500</v>
      </c>
      <c r="G1162" t="s">
        <v>1576</v>
      </c>
      <c r="K1162">
        <v>0</v>
      </c>
      <c r="O1162" t="s">
        <v>57</v>
      </c>
      <c r="Q1162" t="s">
        <v>2284</v>
      </c>
    </row>
    <row r="1163" spans="1:17" x14ac:dyDescent="0.25">
      <c r="A1163" t="s">
        <v>1874</v>
      </c>
      <c r="B1163" t="s">
        <v>1875</v>
      </c>
      <c r="C1163" t="s">
        <v>410</v>
      </c>
      <c r="D1163">
        <v>43.8</v>
      </c>
      <c r="E1163">
        <v>-116.93333</v>
      </c>
      <c r="F1163">
        <v>702.56</v>
      </c>
      <c r="G1163" t="s">
        <v>1576</v>
      </c>
      <c r="H1163" s="1">
        <v>31472</v>
      </c>
      <c r="J1163" t="s">
        <v>1577</v>
      </c>
      <c r="K1163">
        <v>0</v>
      </c>
      <c r="L1163" t="s">
        <v>1578</v>
      </c>
      <c r="O1163" t="s">
        <v>151</v>
      </c>
      <c r="P1163" t="s">
        <v>1585</v>
      </c>
      <c r="Q1163" t="s">
        <v>1580</v>
      </c>
    </row>
    <row r="1164" spans="1:17" x14ac:dyDescent="0.25">
      <c r="A1164" t="s">
        <v>2983</v>
      </c>
      <c r="B1164" t="s">
        <v>2984</v>
      </c>
      <c r="C1164" t="s">
        <v>1622</v>
      </c>
      <c r="D1164">
        <v>40.933999999999997</v>
      </c>
      <c r="E1164">
        <v>-111.8137</v>
      </c>
      <c r="F1164">
        <v>7740</v>
      </c>
      <c r="G1164" t="s">
        <v>1576</v>
      </c>
      <c r="K1164">
        <v>0</v>
      </c>
      <c r="O1164" t="s">
        <v>57</v>
      </c>
      <c r="Q1164" t="s">
        <v>2284</v>
      </c>
    </row>
    <row r="1165" spans="1:17" x14ac:dyDescent="0.25">
      <c r="A1165" t="s">
        <v>1080</v>
      </c>
      <c r="B1165" t="s">
        <v>1081</v>
      </c>
      <c r="C1165" t="s">
        <v>37</v>
      </c>
      <c r="D1165">
        <v>42.468060000000001</v>
      </c>
      <c r="E1165">
        <v>-106.85361</v>
      </c>
      <c r="K1165">
        <v>0</v>
      </c>
      <c r="O1165" t="s">
        <v>30</v>
      </c>
      <c r="P1165" t="s">
        <v>54</v>
      </c>
      <c r="Q1165" t="s">
        <v>21</v>
      </c>
    </row>
    <row r="1166" spans="1:17" x14ac:dyDescent="0.25">
      <c r="A1166" t="s">
        <v>2985</v>
      </c>
      <c r="B1166" t="s">
        <v>2986</v>
      </c>
      <c r="C1166" t="s">
        <v>1622</v>
      </c>
      <c r="D1166">
        <v>39.933300000000003</v>
      </c>
      <c r="E1166">
        <v>-111.63330000000001</v>
      </c>
      <c r="F1166">
        <v>8050</v>
      </c>
      <c r="G1166" t="s">
        <v>1576</v>
      </c>
      <c r="K1166">
        <v>0</v>
      </c>
      <c r="O1166" t="s">
        <v>57</v>
      </c>
      <c r="Q1166" t="s">
        <v>2284</v>
      </c>
    </row>
    <row r="1167" spans="1:17" x14ac:dyDescent="0.25">
      <c r="A1167" t="s">
        <v>2987</v>
      </c>
      <c r="B1167" t="s">
        <v>2988</v>
      </c>
      <c r="C1167" t="s">
        <v>2283</v>
      </c>
      <c r="D1167">
        <v>32.511200000000002</v>
      </c>
      <c r="E1167">
        <v>-104.33329999999999</v>
      </c>
      <c r="G1167" t="s">
        <v>1576</v>
      </c>
      <c r="K1167">
        <v>0</v>
      </c>
      <c r="O1167" t="s">
        <v>51</v>
      </c>
      <c r="Q1167" t="s">
        <v>2284</v>
      </c>
    </row>
    <row r="1168" spans="1:17" x14ac:dyDescent="0.25">
      <c r="A1168" t="s">
        <v>3011</v>
      </c>
      <c r="B1168" t="s">
        <v>3012</v>
      </c>
      <c r="C1168" t="s">
        <v>2283</v>
      </c>
      <c r="D1168">
        <v>32.689700000000002</v>
      </c>
      <c r="E1168">
        <v>-104.29900000000001</v>
      </c>
      <c r="G1168" t="s">
        <v>1576</v>
      </c>
      <c r="K1168">
        <v>0</v>
      </c>
      <c r="O1168" t="s">
        <v>51</v>
      </c>
      <c r="Q1168" t="s">
        <v>2284</v>
      </c>
    </row>
    <row r="1169" spans="1:17" x14ac:dyDescent="0.25">
      <c r="A1169" t="s">
        <v>2995</v>
      </c>
      <c r="B1169" t="s">
        <v>2996</v>
      </c>
      <c r="C1169" t="s">
        <v>2283</v>
      </c>
      <c r="D1169">
        <v>32.578600000000002</v>
      </c>
      <c r="E1169">
        <v>-104.3783</v>
      </c>
      <c r="F1169">
        <v>3226</v>
      </c>
      <c r="G1169" t="s">
        <v>1576</v>
      </c>
      <c r="K1169">
        <v>0</v>
      </c>
      <c r="O1169" t="s">
        <v>51</v>
      </c>
      <c r="Q1169" t="s">
        <v>2284</v>
      </c>
    </row>
    <row r="1170" spans="1:17" x14ac:dyDescent="0.25">
      <c r="A1170" t="s">
        <v>2989</v>
      </c>
      <c r="B1170" t="s">
        <v>2990</v>
      </c>
      <c r="C1170" t="s">
        <v>2283</v>
      </c>
      <c r="D1170">
        <v>33.915300000000002</v>
      </c>
      <c r="E1170">
        <v>-104.2778</v>
      </c>
      <c r="F1170">
        <v>3680</v>
      </c>
      <c r="G1170" t="s">
        <v>1576</v>
      </c>
      <c r="K1170">
        <v>0</v>
      </c>
      <c r="O1170" t="s">
        <v>51</v>
      </c>
      <c r="Q1170" t="s">
        <v>2284</v>
      </c>
    </row>
    <row r="1171" spans="1:17" x14ac:dyDescent="0.25">
      <c r="A1171" t="s">
        <v>2991</v>
      </c>
      <c r="B1171" t="s">
        <v>2992</v>
      </c>
      <c r="C1171" t="s">
        <v>2283</v>
      </c>
      <c r="D1171">
        <v>33.683300000000003</v>
      </c>
      <c r="E1171">
        <v>-104.3167</v>
      </c>
      <c r="G1171" t="s">
        <v>1576</v>
      </c>
      <c r="K1171">
        <v>0</v>
      </c>
      <c r="O1171" t="s">
        <v>51</v>
      </c>
      <c r="Q1171" t="s">
        <v>2284</v>
      </c>
    </row>
    <row r="1172" spans="1:17" x14ac:dyDescent="0.25">
      <c r="A1172" t="s">
        <v>2993</v>
      </c>
      <c r="B1172" t="s">
        <v>2994</v>
      </c>
      <c r="C1172" t="s">
        <v>2283</v>
      </c>
      <c r="D1172">
        <v>35.0914</v>
      </c>
      <c r="E1172">
        <v>-104.8</v>
      </c>
      <c r="G1172" t="s">
        <v>1576</v>
      </c>
      <c r="K1172">
        <v>0</v>
      </c>
      <c r="O1172" t="s">
        <v>51</v>
      </c>
      <c r="Q1172" t="s">
        <v>2284</v>
      </c>
    </row>
    <row r="1173" spans="1:17" x14ac:dyDescent="0.25">
      <c r="A1173" t="s">
        <v>2997</v>
      </c>
      <c r="B1173" t="s">
        <v>2998</v>
      </c>
      <c r="C1173" t="s">
        <v>2283</v>
      </c>
      <c r="D1173">
        <v>32.411099999999998</v>
      </c>
      <c r="E1173">
        <v>-104.2169</v>
      </c>
      <c r="G1173" t="s">
        <v>1576</v>
      </c>
      <c r="K1173">
        <v>0</v>
      </c>
      <c r="O1173" t="s">
        <v>51</v>
      </c>
      <c r="Q1173" t="s">
        <v>2284</v>
      </c>
    </row>
    <row r="1174" spans="1:17" x14ac:dyDescent="0.25">
      <c r="A1174" t="s">
        <v>2999</v>
      </c>
      <c r="B1174" t="s">
        <v>3000</v>
      </c>
      <c r="C1174" t="s">
        <v>2283</v>
      </c>
      <c r="D1174">
        <v>32.188600000000001</v>
      </c>
      <c r="E1174">
        <v>-103.9794</v>
      </c>
      <c r="G1174" t="s">
        <v>1576</v>
      </c>
      <c r="K1174">
        <v>0</v>
      </c>
      <c r="O1174" t="s">
        <v>51</v>
      </c>
      <c r="Q1174" t="s">
        <v>2284</v>
      </c>
    </row>
    <row r="1175" spans="1:17" x14ac:dyDescent="0.25">
      <c r="A1175" t="s">
        <v>3001</v>
      </c>
      <c r="B1175" t="s">
        <v>3002</v>
      </c>
      <c r="C1175" t="s">
        <v>2283</v>
      </c>
      <c r="D1175">
        <v>34.943300000000001</v>
      </c>
      <c r="E1175">
        <v>-104.6986</v>
      </c>
      <c r="F1175">
        <v>4537.5600000000004</v>
      </c>
      <c r="G1175" t="s">
        <v>1576</v>
      </c>
      <c r="K1175">
        <v>0</v>
      </c>
      <c r="O1175" t="s">
        <v>51</v>
      </c>
      <c r="Q1175" t="s">
        <v>2284</v>
      </c>
    </row>
    <row r="1176" spans="1:17" x14ac:dyDescent="0.25">
      <c r="A1176" t="s">
        <v>3003</v>
      </c>
      <c r="B1176" t="s">
        <v>3004</v>
      </c>
      <c r="C1176" t="s">
        <v>2283</v>
      </c>
      <c r="D1176">
        <v>34.348100000000002</v>
      </c>
      <c r="E1176">
        <v>-104.1725</v>
      </c>
      <c r="F1176">
        <v>3915</v>
      </c>
      <c r="G1176" t="s">
        <v>1576</v>
      </c>
      <c r="K1176">
        <v>0</v>
      </c>
      <c r="O1176" t="s">
        <v>51</v>
      </c>
      <c r="Q1176" t="s">
        <v>2284</v>
      </c>
    </row>
    <row r="1177" spans="1:17" x14ac:dyDescent="0.25">
      <c r="A1177" t="s">
        <v>3005</v>
      </c>
      <c r="B1177" t="s">
        <v>3006</v>
      </c>
      <c r="C1177" t="s">
        <v>2283</v>
      </c>
      <c r="D1177">
        <v>32.5944</v>
      </c>
      <c r="E1177">
        <v>-104.3497</v>
      </c>
      <c r="F1177">
        <v>3238.21</v>
      </c>
      <c r="G1177" t="s">
        <v>1576</v>
      </c>
      <c r="K1177">
        <v>0</v>
      </c>
      <c r="O1177" t="s">
        <v>51</v>
      </c>
      <c r="Q1177" t="s">
        <v>2284</v>
      </c>
    </row>
    <row r="1178" spans="1:17" x14ac:dyDescent="0.25">
      <c r="A1178" t="s">
        <v>3007</v>
      </c>
      <c r="B1178" t="s">
        <v>3008</v>
      </c>
      <c r="C1178" t="s">
        <v>2283</v>
      </c>
      <c r="D1178">
        <v>33.85</v>
      </c>
      <c r="E1178">
        <v>-104.29170000000001</v>
      </c>
      <c r="G1178" t="s">
        <v>1576</v>
      </c>
      <c r="K1178">
        <v>0</v>
      </c>
      <c r="O1178" t="s">
        <v>51</v>
      </c>
      <c r="Q1178" t="s">
        <v>2284</v>
      </c>
    </row>
    <row r="1179" spans="1:17" x14ac:dyDescent="0.25">
      <c r="A1179" t="s">
        <v>3009</v>
      </c>
      <c r="B1179" t="s">
        <v>3010</v>
      </c>
      <c r="C1179" t="s">
        <v>2283</v>
      </c>
      <c r="D1179">
        <v>34.227800000000002</v>
      </c>
      <c r="E1179">
        <v>-104.22920000000001</v>
      </c>
      <c r="F1179">
        <v>3845</v>
      </c>
      <c r="G1179" t="s">
        <v>1576</v>
      </c>
      <c r="K1179">
        <v>0</v>
      </c>
      <c r="O1179" t="s">
        <v>51</v>
      </c>
      <c r="Q1179" t="s">
        <v>2284</v>
      </c>
    </row>
    <row r="1180" spans="1:17" x14ac:dyDescent="0.25">
      <c r="A1180" t="s">
        <v>3013</v>
      </c>
      <c r="B1180" t="s">
        <v>3014</v>
      </c>
      <c r="C1180" t="s">
        <v>2283</v>
      </c>
      <c r="D1180">
        <v>34.4786</v>
      </c>
      <c r="E1180">
        <v>-104.2719</v>
      </c>
      <c r="G1180" t="s">
        <v>1576</v>
      </c>
      <c r="K1180">
        <v>0</v>
      </c>
      <c r="O1180" t="s">
        <v>51</v>
      </c>
      <c r="Q1180" t="s">
        <v>2284</v>
      </c>
    </row>
    <row r="1181" spans="1:17" x14ac:dyDescent="0.25">
      <c r="A1181" t="s">
        <v>3015</v>
      </c>
      <c r="B1181" t="s">
        <v>3016</v>
      </c>
      <c r="C1181" t="s">
        <v>2283</v>
      </c>
      <c r="D1181">
        <v>33.168900000000001</v>
      </c>
      <c r="E1181">
        <v>-104.30670000000001</v>
      </c>
      <c r="G1181" t="s">
        <v>1576</v>
      </c>
      <c r="K1181">
        <v>0</v>
      </c>
      <c r="O1181" t="s">
        <v>51</v>
      </c>
      <c r="Q1181" t="s">
        <v>2284</v>
      </c>
    </row>
    <row r="1182" spans="1:17" x14ac:dyDescent="0.25">
      <c r="A1182" t="s">
        <v>3017</v>
      </c>
      <c r="B1182" t="s">
        <v>3018</v>
      </c>
      <c r="C1182" t="s">
        <v>2283</v>
      </c>
      <c r="D1182">
        <v>32.9893</v>
      </c>
      <c r="E1182">
        <v>-104.321</v>
      </c>
      <c r="G1182" t="s">
        <v>1576</v>
      </c>
      <c r="K1182">
        <v>0</v>
      </c>
      <c r="O1182" t="s">
        <v>51</v>
      </c>
      <c r="Q1182" t="s">
        <v>2284</v>
      </c>
    </row>
    <row r="1183" spans="1:17" x14ac:dyDescent="0.25">
      <c r="A1183" t="s">
        <v>1868</v>
      </c>
      <c r="B1183" t="s">
        <v>1869</v>
      </c>
      <c r="C1183" t="s">
        <v>1622</v>
      </c>
      <c r="D1183">
        <v>40.174259999999997</v>
      </c>
      <c r="E1183">
        <v>-109.66665</v>
      </c>
      <c r="F1183">
        <v>1467</v>
      </c>
      <c r="G1183" t="s">
        <v>1576</v>
      </c>
      <c r="H1183" s="1">
        <v>41976</v>
      </c>
      <c r="J1183" t="s">
        <v>1577</v>
      </c>
      <c r="K1183">
        <v>0</v>
      </c>
      <c r="L1183" t="s">
        <v>1578</v>
      </c>
      <c r="O1183" t="s">
        <v>151</v>
      </c>
      <c r="P1183" t="s">
        <v>1585</v>
      </c>
      <c r="Q1183" t="s">
        <v>1580</v>
      </c>
    </row>
    <row r="1184" spans="1:17" x14ac:dyDescent="0.25">
      <c r="A1184" t="s">
        <v>1088</v>
      </c>
      <c r="B1184" t="s">
        <v>1089</v>
      </c>
      <c r="C1184" t="s">
        <v>41</v>
      </c>
      <c r="D1184">
        <v>48.363610000000001</v>
      </c>
      <c r="E1184">
        <v>-108.71333</v>
      </c>
      <c r="K1184">
        <v>0</v>
      </c>
      <c r="O1184" t="s">
        <v>51</v>
      </c>
      <c r="Q1184" t="s">
        <v>21</v>
      </c>
    </row>
    <row r="1185" spans="1:17" x14ac:dyDescent="0.25">
      <c r="A1185" t="s">
        <v>1090</v>
      </c>
      <c r="B1185" t="s">
        <v>1091</v>
      </c>
      <c r="C1185" t="s">
        <v>41</v>
      </c>
      <c r="D1185">
        <v>48.223610000000001</v>
      </c>
      <c r="E1185">
        <v>-108.71333</v>
      </c>
      <c r="K1185">
        <v>0</v>
      </c>
      <c r="O1185" t="s">
        <v>51</v>
      </c>
      <c r="Q1185" t="s">
        <v>21</v>
      </c>
    </row>
    <row r="1186" spans="1:17" x14ac:dyDescent="0.25">
      <c r="A1186" t="s">
        <v>3019</v>
      </c>
      <c r="B1186" t="s">
        <v>3020</v>
      </c>
      <c r="C1186" t="s">
        <v>19</v>
      </c>
      <c r="D1186">
        <v>40.4</v>
      </c>
      <c r="E1186">
        <v>-105.85</v>
      </c>
      <c r="F1186">
        <v>9030</v>
      </c>
      <c r="G1186" t="s">
        <v>1576</v>
      </c>
      <c r="K1186">
        <v>0</v>
      </c>
      <c r="O1186" t="s">
        <v>57</v>
      </c>
      <c r="Q1186" t="s">
        <v>2284</v>
      </c>
    </row>
    <row r="1187" spans="1:17" x14ac:dyDescent="0.25">
      <c r="A1187" t="s">
        <v>1096</v>
      </c>
      <c r="B1187" t="s">
        <v>1097</v>
      </c>
      <c r="C1187" t="s">
        <v>19</v>
      </c>
      <c r="D1187">
        <v>40.399439999999998</v>
      </c>
      <c r="E1187">
        <v>-105.84721999999999</v>
      </c>
      <c r="F1187">
        <v>9045</v>
      </c>
      <c r="K1187">
        <v>0</v>
      </c>
      <c r="O1187" t="s">
        <v>57</v>
      </c>
      <c r="Q1187" t="s">
        <v>21</v>
      </c>
    </row>
    <row r="1188" spans="1:17" x14ac:dyDescent="0.25">
      <c r="A1188" t="s">
        <v>1870</v>
      </c>
      <c r="B1188" t="s">
        <v>1871</v>
      </c>
      <c r="C1188" t="s">
        <v>410</v>
      </c>
      <c r="D1188">
        <v>43.311660000000003</v>
      </c>
      <c r="E1188">
        <v>-114.16583</v>
      </c>
      <c r="F1188">
        <v>1493.52</v>
      </c>
      <c r="G1188" t="s">
        <v>1576</v>
      </c>
      <c r="H1188" s="1">
        <v>30072</v>
      </c>
      <c r="J1188" t="s">
        <v>1577</v>
      </c>
      <c r="K1188">
        <v>0</v>
      </c>
      <c r="L1188" t="s">
        <v>1578</v>
      </c>
      <c r="O1188" t="s">
        <v>151</v>
      </c>
      <c r="P1188" t="s">
        <v>1585</v>
      </c>
      <c r="Q1188" t="s">
        <v>1580</v>
      </c>
    </row>
    <row r="1189" spans="1:17" x14ac:dyDescent="0.25">
      <c r="A1189" t="s">
        <v>1092</v>
      </c>
      <c r="B1189" t="s">
        <v>1093</v>
      </c>
      <c r="C1189" t="s">
        <v>41</v>
      </c>
      <c r="D1189">
        <v>46.583329999999997</v>
      </c>
      <c r="E1189">
        <v>-111.26667</v>
      </c>
      <c r="F1189">
        <v>6650</v>
      </c>
      <c r="K1189">
        <v>0</v>
      </c>
      <c r="O1189" t="s">
        <v>57</v>
      </c>
      <c r="Q1189" t="s">
        <v>21</v>
      </c>
    </row>
    <row r="1190" spans="1:17" x14ac:dyDescent="0.25">
      <c r="A1190" t="s">
        <v>3021</v>
      </c>
      <c r="B1190" t="s">
        <v>3022</v>
      </c>
      <c r="C1190" t="s">
        <v>1622</v>
      </c>
      <c r="D1190">
        <v>39.0167</v>
      </c>
      <c r="E1190">
        <v>-111.58329999999999</v>
      </c>
      <c r="F1190">
        <v>9600</v>
      </c>
      <c r="G1190" t="s">
        <v>1576</v>
      </c>
      <c r="K1190">
        <v>0</v>
      </c>
      <c r="O1190" t="s">
        <v>57</v>
      </c>
      <c r="Q1190" t="s">
        <v>2284</v>
      </c>
    </row>
    <row r="1191" spans="1:17" x14ac:dyDescent="0.25">
      <c r="A1191" t="s">
        <v>3023</v>
      </c>
      <c r="B1191" t="s">
        <v>3024</v>
      </c>
      <c r="C1191" t="s">
        <v>19</v>
      </c>
      <c r="D1191">
        <v>37.428600000000003</v>
      </c>
      <c r="E1191">
        <v>-107.19280000000001</v>
      </c>
      <c r="F1191">
        <v>7640.35</v>
      </c>
      <c r="G1191" t="s">
        <v>1576</v>
      </c>
      <c r="K1191">
        <v>0</v>
      </c>
      <c r="O1191" t="s">
        <v>51</v>
      </c>
      <c r="Q1191" t="s">
        <v>2284</v>
      </c>
    </row>
    <row r="1192" spans="1:17" x14ac:dyDescent="0.25">
      <c r="A1192" t="s">
        <v>3025</v>
      </c>
      <c r="B1192" t="s">
        <v>3026</v>
      </c>
      <c r="C1192" t="s">
        <v>19</v>
      </c>
      <c r="D1192">
        <v>37.088299999999997</v>
      </c>
      <c r="E1192">
        <v>-107.3972</v>
      </c>
      <c r="F1192">
        <v>6147.52</v>
      </c>
      <c r="G1192" t="s">
        <v>1576</v>
      </c>
      <c r="K1192">
        <v>0</v>
      </c>
      <c r="O1192" t="s">
        <v>51</v>
      </c>
      <c r="Q1192" t="s">
        <v>2284</v>
      </c>
    </row>
    <row r="1193" spans="1:17" x14ac:dyDescent="0.25">
      <c r="A1193" t="s">
        <v>3027</v>
      </c>
      <c r="B1193" t="s">
        <v>3028</v>
      </c>
      <c r="C1193" t="s">
        <v>19</v>
      </c>
      <c r="D1193">
        <v>37.222200000000001</v>
      </c>
      <c r="E1193">
        <v>-107.34220000000001</v>
      </c>
      <c r="F1193">
        <v>6510</v>
      </c>
      <c r="G1193" t="s">
        <v>1576</v>
      </c>
      <c r="K1193">
        <v>0</v>
      </c>
      <c r="O1193" t="s">
        <v>51</v>
      </c>
      <c r="Q1193" t="s">
        <v>2284</v>
      </c>
    </row>
    <row r="1194" spans="1:17" x14ac:dyDescent="0.25">
      <c r="A1194" t="s">
        <v>1098</v>
      </c>
      <c r="B1194" t="s">
        <v>1099</v>
      </c>
      <c r="C1194" t="s">
        <v>41</v>
      </c>
      <c r="D1194">
        <v>48.3</v>
      </c>
      <c r="E1194">
        <v>-113.33334000000001</v>
      </c>
      <c r="F1194">
        <v>5930</v>
      </c>
      <c r="K1194">
        <v>0</v>
      </c>
      <c r="O1194" t="s">
        <v>57</v>
      </c>
      <c r="Q1194" t="s">
        <v>21</v>
      </c>
    </row>
    <row r="1195" spans="1:17" x14ac:dyDescent="0.25">
      <c r="A1195" t="s">
        <v>1084</v>
      </c>
      <c r="B1195" t="s">
        <v>1085</v>
      </c>
      <c r="C1195" t="s">
        <v>37</v>
      </c>
      <c r="D1195">
        <v>43.2</v>
      </c>
      <c r="E1195">
        <v>-108.75</v>
      </c>
      <c r="K1195">
        <v>0</v>
      </c>
      <c r="O1195" t="s">
        <v>30</v>
      </c>
      <c r="P1195" t="s">
        <v>54</v>
      </c>
      <c r="Q1195" t="s">
        <v>21</v>
      </c>
    </row>
    <row r="1196" spans="1:17" x14ac:dyDescent="0.25">
      <c r="A1196" t="s">
        <v>1094</v>
      </c>
      <c r="B1196" t="s">
        <v>1095</v>
      </c>
      <c r="C1196" t="s">
        <v>37</v>
      </c>
      <c r="D1196">
        <v>43.192219999999999</v>
      </c>
      <c r="E1196">
        <v>-108.74415999999999</v>
      </c>
      <c r="K1196">
        <v>0</v>
      </c>
      <c r="O1196" t="s">
        <v>34</v>
      </c>
      <c r="Q1196" t="s">
        <v>21</v>
      </c>
    </row>
    <row r="1197" spans="1:17" x14ac:dyDescent="0.25">
      <c r="A1197" t="s">
        <v>3029</v>
      </c>
      <c r="B1197" t="s">
        <v>3030</v>
      </c>
      <c r="C1197" t="s">
        <v>1622</v>
      </c>
      <c r="D1197">
        <v>38.883299999999998</v>
      </c>
      <c r="E1197">
        <v>-112.25</v>
      </c>
      <c r="F1197">
        <v>8800</v>
      </c>
      <c r="G1197" t="s">
        <v>1576</v>
      </c>
      <c r="K1197">
        <v>0</v>
      </c>
      <c r="O1197" t="s">
        <v>57</v>
      </c>
      <c r="Q1197" t="s">
        <v>2284</v>
      </c>
    </row>
    <row r="1198" spans="1:17" x14ac:dyDescent="0.25">
      <c r="A1198" t="s">
        <v>1876</v>
      </c>
      <c r="B1198" t="s">
        <v>1877</v>
      </c>
      <c r="C1198" t="s">
        <v>1588</v>
      </c>
      <c r="D1198">
        <v>45.65222</v>
      </c>
      <c r="E1198">
        <v>-121.50915999999999</v>
      </c>
      <c r="F1198">
        <v>188.98</v>
      </c>
      <c r="G1198" t="s">
        <v>1589</v>
      </c>
      <c r="H1198" s="1">
        <v>32448</v>
      </c>
      <c r="J1198" t="s">
        <v>1577</v>
      </c>
      <c r="K1198">
        <v>0</v>
      </c>
      <c r="L1198" t="s">
        <v>1578</v>
      </c>
      <c r="O1198" t="s">
        <v>151</v>
      </c>
      <c r="P1198" t="s">
        <v>1585</v>
      </c>
      <c r="Q1198" t="s">
        <v>1580</v>
      </c>
    </row>
    <row r="1199" spans="1:17" x14ac:dyDescent="0.25">
      <c r="A1199" t="s">
        <v>3031</v>
      </c>
      <c r="B1199" t="s">
        <v>3032</v>
      </c>
      <c r="C1199" t="s">
        <v>1622</v>
      </c>
      <c r="D1199">
        <v>41.16</v>
      </c>
      <c r="E1199">
        <v>-111.41</v>
      </c>
      <c r="F1199">
        <v>4818</v>
      </c>
      <c r="G1199" t="s">
        <v>1576</v>
      </c>
      <c r="K1199">
        <v>0</v>
      </c>
      <c r="O1199" t="s">
        <v>30</v>
      </c>
      <c r="Q1199" t="s">
        <v>2284</v>
      </c>
    </row>
    <row r="1200" spans="1:17" x14ac:dyDescent="0.25">
      <c r="A1200" t="s">
        <v>1100</v>
      </c>
      <c r="B1200" t="s">
        <v>1101</v>
      </c>
      <c r="C1200" t="s">
        <v>19</v>
      </c>
      <c r="D1200">
        <v>40.368049999999997</v>
      </c>
      <c r="E1200">
        <v>-105.28637999999999</v>
      </c>
      <c r="K1200">
        <v>0</v>
      </c>
      <c r="O1200" t="s">
        <v>30</v>
      </c>
      <c r="P1200" t="s">
        <v>38</v>
      </c>
      <c r="Q1200" t="s">
        <v>21</v>
      </c>
    </row>
    <row r="1201" spans="1:17" x14ac:dyDescent="0.25">
      <c r="A1201" t="s">
        <v>1102</v>
      </c>
      <c r="B1201" t="s">
        <v>1103</v>
      </c>
      <c r="C1201" t="s">
        <v>483</v>
      </c>
      <c r="D1201">
        <v>46.956389999999999</v>
      </c>
      <c r="E1201">
        <v>-98.752780000000001</v>
      </c>
      <c r="K1201">
        <v>0</v>
      </c>
      <c r="O1201" t="s">
        <v>30</v>
      </c>
      <c r="P1201" t="s">
        <v>31</v>
      </c>
      <c r="Q1201" t="s">
        <v>21</v>
      </c>
    </row>
    <row r="1202" spans="1:17" x14ac:dyDescent="0.25">
      <c r="A1202" t="s">
        <v>1114</v>
      </c>
      <c r="B1202" t="s">
        <v>1115</v>
      </c>
      <c r="C1202" t="s">
        <v>41</v>
      </c>
      <c r="D1202">
        <v>47.676670000000001</v>
      </c>
      <c r="E1202">
        <v>-112.49666999999999</v>
      </c>
      <c r="K1202">
        <v>0</v>
      </c>
      <c r="O1202" t="s">
        <v>30</v>
      </c>
      <c r="P1202" t="s">
        <v>324</v>
      </c>
      <c r="Q1202" t="s">
        <v>21</v>
      </c>
    </row>
    <row r="1203" spans="1:17" x14ac:dyDescent="0.25">
      <c r="A1203" t="s">
        <v>1106</v>
      </c>
      <c r="B1203" t="s">
        <v>1107</v>
      </c>
      <c r="C1203" t="s">
        <v>41</v>
      </c>
      <c r="D1203">
        <v>45.416670000000003</v>
      </c>
      <c r="E1203">
        <v>-110.1</v>
      </c>
      <c r="F1203">
        <v>8830</v>
      </c>
      <c r="K1203">
        <v>0</v>
      </c>
      <c r="O1203" t="s">
        <v>57</v>
      </c>
      <c r="Q1203" t="s">
        <v>21</v>
      </c>
    </row>
    <row r="1204" spans="1:17" x14ac:dyDescent="0.25">
      <c r="A1204" t="s">
        <v>1104</v>
      </c>
      <c r="B1204" t="s">
        <v>1105</v>
      </c>
      <c r="C1204" t="s">
        <v>19</v>
      </c>
      <c r="D1204">
        <v>39.183610000000002</v>
      </c>
      <c r="E1204">
        <v>-108.26833000000001</v>
      </c>
      <c r="K1204">
        <v>0</v>
      </c>
      <c r="O1204" t="s">
        <v>51</v>
      </c>
      <c r="Q1204" t="s">
        <v>21</v>
      </c>
    </row>
    <row r="1205" spans="1:17" x14ac:dyDescent="0.25">
      <c r="A1205" t="s">
        <v>3033</v>
      </c>
      <c r="B1205" t="s">
        <v>3034</v>
      </c>
      <c r="C1205" t="s">
        <v>19</v>
      </c>
      <c r="D1205">
        <v>39.365299999999998</v>
      </c>
      <c r="E1205">
        <v>-107.175</v>
      </c>
      <c r="F1205">
        <v>10048</v>
      </c>
      <c r="G1205" t="s">
        <v>1576</v>
      </c>
      <c r="K1205">
        <v>0</v>
      </c>
      <c r="O1205" t="s">
        <v>30</v>
      </c>
      <c r="Q1205" t="s">
        <v>2284</v>
      </c>
    </row>
    <row r="1206" spans="1:17" x14ac:dyDescent="0.25">
      <c r="A1206" t="s">
        <v>1872</v>
      </c>
      <c r="B1206" t="s">
        <v>1873</v>
      </c>
      <c r="C1206" t="s">
        <v>1622</v>
      </c>
      <c r="D1206">
        <v>40.1663</v>
      </c>
      <c r="E1206">
        <v>-110.09471000000001</v>
      </c>
      <c r="F1206">
        <v>1612</v>
      </c>
      <c r="G1206" t="s">
        <v>1576</v>
      </c>
      <c r="H1206" s="1">
        <v>41976</v>
      </c>
      <c r="J1206" t="s">
        <v>1577</v>
      </c>
      <c r="K1206">
        <v>0</v>
      </c>
      <c r="L1206" t="s">
        <v>1578</v>
      </c>
      <c r="O1206" t="s">
        <v>151</v>
      </c>
      <c r="P1206" t="s">
        <v>1585</v>
      </c>
      <c r="Q1206" t="s">
        <v>1580</v>
      </c>
    </row>
    <row r="1207" spans="1:17" x14ac:dyDescent="0.25">
      <c r="A1207" t="s">
        <v>1086</v>
      </c>
      <c r="B1207" t="s">
        <v>1087</v>
      </c>
      <c r="C1207" t="s">
        <v>41</v>
      </c>
      <c r="D1207">
        <v>48.266669999999998</v>
      </c>
      <c r="E1207">
        <v>-112.2</v>
      </c>
      <c r="K1207">
        <v>0</v>
      </c>
      <c r="O1207" t="s">
        <v>34</v>
      </c>
      <c r="Q1207" t="s">
        <v>21</v>
      </c>
    </row>
    <row r="1208" spans="1:17" x14ac:dyDescent="0.25">
      <c r="A1208" t="s">
        <v>1112</v>
      </c>
      <c r="B1208" t="s">
        <v>1113</v>
      </c>
      <c r="C1208" t="s">
        <v>41</v>
      </c>
      <c r="D1208">
        <v>46.116660000000003</v>
      </c>
      <c r="E1208">
        <v>-110.46666999999999</v>
      </c>
      <c r="F1208">
        <v>6500</v>
      </c>
      <c r="K1208">
        <v>0</v>
      </c>
      <c r="O1208" t="s">
        <v>57</v>
      </c>
      <c r="Q1208" t="s">
        <v>21</v>
      </c>
    </row>
    <row r="1209" spans="1:17" x14ac:dyDescent="0.25">
      <c r="A1209" t="s">
        <v>3035</v>
      </c>
      <c r="B1209" t="s">
        <v>3036</v>
      </c>
      <c r="C1209" t="s">
        <v>19</v>
      </c>
      <c r="D1209">
        <v>38.4833</v>
      </c>
      <c r="E1209">
        <v>-106.33329999999999</v>
      </c>
      <c r="F1209">
        <v>10760</v>
      </c>
      <c r="G1209" t="s">
        <v>1576</v>
      </c>
      <c r="K1209">
        <v>0</v>
      </c>
      <c r="O1209" t="s">
        <v>57</v>
      </c>
      <c r="Q1209" t="s">
        <v>2284</v>
      </c>
    </row>
    <row r="1210" spans="1:17" x14ac:dyDescent="0.25">
      <c r="A1210" t="s">
        <v>1108</v>
      </c>
      <c r="B1210" t="s">
        <v>1109</v>
      </c>
      <c r="C1210" t="s">
        <v>19</v>
      </c>
      <c r="D1210">
        <v>38.483330000000002</v>
      </c>
      <c r="E1210">
        <v>-106.33334000000001</v>
      </c>
      <c r="F1210">
        <v>10760</v>
      </c>
      <c r="K1210">
        <v>0</v>
      </c>
      <c r="O1210" t="s">
        <v>57</v>
      </c>
      <c r="Q1210" t="s">
        <v>21</v>
      </c>
    </row>
    <row r="1211" spans="1:17" x14ac:dyDescent="0.25">
      <c r="A1211" t="s">
        <v>1880</v>
      </c>
      <c r="B1211" t="s">
        <v>1881</v>
      </c>
      <c r="C1211" t="s">
        <v>410</v>
      </c>
      <c r="D1211">
        <v>47.713664000000001</v>
      </c>
      <c r="E1211">
        <v>-116.970096</v>
      </c>
      <c r="F1211">
        <v>665</v>
      </c>
      <c r="G1211" t="s">
        <v>1589</v>
      </c>
      <c r="H1211" s="1">
        <v>41961</v>
      </c>
      <c r="J1211" t="s">
        <v>1577</v>
      </c>
      <c r="K1211">
        <v>0</v>
      </c>
      <c r="L1211" t="s">
        <v>1578</v>
      </c>
      <c r="O1211" t="s">
        <v>151</v>
      </c>
      <c r="P1211" t="s">
        <v>1585</v>
      </c>
      <c r="Q1211" t="s">
        <v>1580</v>
      </c>
    </row>
    <row r="1212" spans="1:17" x14ac:dyDescent="0.25">
      <c r="A1212" t="s">
        <v>837</v>
      </c>
      <c r="B1212" t="s">
        <v>838</v>
      </c>
      <c r="C1212" t="s">
        <v>41</v>
      </c>
      <c r="D1212">
        <v>46.433329999999998</v>
      </c>
      <c r="E1212">
        <v>-105.3</v>
      </c>
      <c r="K1212">
        <v>0</v>
      </c>
      <c r="O1212" t="s">
        <v>51</v>
      </c>
      <c r="Q1212" t="s">
        <v>21</v>
      </c>
    </row>
    <row r="1213" spans="1:17" x14ac:dyDescent="0.25">
      <c r="A1213" t="s">
        <v>1134</v>
      </c>
      <c r="B1213" t="s">
        <v>1135</v>
      </c>
      <c r="C1213" t="s">
        <v>37</v>
      </c>
      <c r="D1213">
        <v>44.166670000000003</v>
      </c>
      <c r="E1213">
        <v>-107.13333</v>
      </c>
      <c r="F1213">
        <v>9480</v>
      </c>
      <c r="K1213">
        <v>0</v>
      </c>
      <c r="O1213" t="s">
        <v>57</v>
      </c>
      <c r="Q1213" t="s">
        <v>21</v>
      </c>
    </row>
    <row r="1214" spans="1:17" x14ac:dyDescent="0.25">
      <c r="A1214" t="s">
        <v>1878</v>
      </c>
      <c r="B1214" t="s">
        <v>1879</v>
      </c>
      <c r="C1214" t="s">
        <v>1588</v>
      </c>
      <c r="D1214">
        <v>44.248330000000003</v>
      </c>
      <c r="E1214">
        <v>-120.94972</v>
      </c>
      <c r="F1214">
        <v>975.36</v>
      </c>
      <c r="G1214" t="s">
        <v>1589</v>
      </c>
      <c r="H1214" s="1">
        <v>34233</v>
      </c>
      <c r="J1214" t="s">
        <v>1577</v>
      </c>
      <c r="K1214">
        <v>0</v>
      </c>
      <c r="L1214" t="s">
        <v>1578</v>
      </c>
      <c r="O1214" t="s">
        <v>151</v>
      </c>
      <c r="P1214" t="s">
        <v>1585</v>
      </c>
      <c r="Q1214" t="s">
        <v>1580</v>
      </c>
    </row>
    <row r="1215" spans="1:17" x14ac:dyDescent="0.25">
      <c r="A1215" t="s">
        <v>272</v>
      </c>
      <c r="B1215" t="s">
        <v>273</v>
      </c>
      <c r="C1215" t="s">
        <v>19</v>
      </c>
      <c r="D1215">
        <v>40.423609999999996</v>
      </c>
      <c r="E1215">
        <v>-105.22806</v>
      </c>
      <c r="F1215">
        <v>5450</v>
      </c>
      <c r="K1215">
        <v>0</v>
      </c>
      <c r="O1215" t="s">
        <v>51</v>
      </c>
      <c r="Q1215" t="s">
        <v>21</v>
      </c>
    </row>
    <row r="1216" spans="1:17" x14ac:dyDescent="0.25">
      <c r="A1216" t="s">
        <v>1866</v>
      </c>
      <c r="B1216" t="s">
        <v>1867</v>
      </c>
      <c r="C1216" t="s">
        <v>1588</v>
      </c>
      <c r="D1216">
        <v>44.440829999999998</v>
      </c>
      <c r="E1216">
        <v>-118.62777</v>
      </c>
      <c r="F1216">
        <v>1143.6099999999999</v>
      </c>
      <c r="G1216" t="s">
        <v>1589</v>
      </c>
      <c r="H1216" s="1">
        <v>32599</v>
      </c>
      <c r="J1216" t="s">
        <v>1577</v>
      </c>
      <c r="K1216">
        <v>0</v>
      </c>
      <c r="L1216" t="s">
        <v>1578</v>
      </c>
      <c r="O1216" t="s">
        <v>151</v>
      </c>
      <c r="P1216" t="s">
        <v>1585</v>
      </c>
      <c r="Q1216" t="s">
        <v>1580</v>
      </c>
    </row>
    <row r="1217" spans="1:17" x14ac:dyDescent="0.25">
      <c r="A1217" t="s">
        <v>1882</v>
      </c>
      <c r="B1217" t="s">
        <v>1883</v>
      </c>
      <c r="C1217" t="s">
        <v>410</v>
      </c>
      <c r="D1217">
        <v>42.107149999999997</v>
      </c>
      <c r="E1217">
        <v>-111.89363</v>
      </c>
      <c r="F1217">
        <v>1335</v>
      </c>
      <c r="H1217" s="1">
        <v>41948</v>
      </c>
      <c r="J1217" t="s">
        <v>1577</v>
      </c>
      <c r="K1217">
        <v>0</v>
      </c>
      <c r="L1217" t="s">
        <v>1578</v>
      </c>
      <c r="O1217" t="s">
        <v>151</v>
      </c>
      <c r="P1217" t="s">
        <v>1585</v>
      </c>
      <c r="Q1217" t="s">
        <v>1580</v>
      </c>
    </row>
    <row r="1218" spans="1:17" x14ac:dyDescent="0.25">
      <c r="A1218" t="s">
        <v>3037</v>
      </c>
      <c r="B1218" t="s">
        <v>3038</v>
      </c>
      <c r="C1218" t="s">
        <v>1622</v>
      </c>
      <c r="D1218">
        <v>39.718899999999998</v>
      </c>
      <c r="E1218">
        <v>-110.8653</v>
      </c>
      <c r="F1218">
        <v>6000</v>
      </c>
      <c r="G1218" t="s">
        <v>1576</v>
      </c>
      <c r="K1218">
        <v>0</v>
      </c>
      <c r="O1218" t="s">
        <v>51</v>
      </c>
      <c r="Q1218" t="s">
        <v>2284</v>
      </c>
    </row>
    <row r="1219" spans="1:17" x14ac:dyDescent="0.25">
      <c r="A1219" t="s">
        <v>1120</v>
      </c>
      <c r="B1219" t="s">
        <v>1121</v>
      </c>
      <c r="C1219" t="s">
        <v>19</v>
      </c>
      <c r="D1219">
        <v>38.259450000000001</v>
      </c>
      <c r="E1219">
        <v>-104.71805999999999</v>
      </c>
      <c r="F1219">
        <v>4869</v>
      </c>
      <c r="K1219">
        <v>0</v>
      </c>
      <c r="O1219" t="s">
        <v>118</v>
      </c>
      <c r="Q1219" t="s">
        <v>21</v>
      </c>
    </row>
    <row r="1220" spans="1:17" x14ac:dyDescent="0.25">
      <c r="A1220" t="s">
        <v>1118</v>
      </c>
      <c r="B1220" t="s">
        <v>1119</v>
      </c>
      <c r="C1220" t="s">
        <v>19</v>
      </c>
      <c r="D1220">
        <v>38.259720000000002</v>
      </c>
      <c r="E1220">
        <v>-104.71805999999999</v>
      </c>
      <c r="F1220">
        <v>4850</v>
      </c>
      <c r="H1220" s="1">
        <v>39287</v>
      </c>
      <c r="K1220">
        <v>0</v>
      </c>
      <c r="O1220" t="s">
        <v>30</v>
      </c>
      <c r="P1220" t="s">
        <v>38</v>
      </c>
      <c r="Q1220" t="s">
        <v>21</v>
      </c>
    </row>
    <row r="1221" spans="1:17" x14ac:dyDescent="0.25">
      <c r="A1221" t="s">
        <v>2209</v>
      </c>
      <c r="B1221" t="s">
        <v>2210</v>
      </c>
      <c r="C1221" t="s">
        <v>1987</v>
      </c>
      <c r="D1221">
        <v>32.75</v>
      </c>
      <c r="E1221">
        <v>-114.5</v>
      </c>
      <c r="G1221" t="s">
        <v>1576</v>
      </c>
      <c r="K1221">
        <v>0</v>
      </c>
      <c r="O1221" t="s">
        <v>20</v>
      </c>
      <c r="Q1221" t="s">
        <v>1988</v>
      </c>
    </row>
    <row r="1222" spans="1:17" x14ac:dyDescent="0.25">
      <c r="A1222" t="s">
        <v>1126</v>
      </c>
      <c r="B1222" t="s">
        <v>1127</v>
      </c>
      <c r="C1222" t="s">
        <v>19</v>
      </c>
      <c r="D1222">
        <v>37.129440000000002</v>
      </c>
      <c r="E1222">
        <v>-104.63943999999999</v>
      </c>
      <c r="K1222">
        <v>0</v>
      </c>
      <c r="O1222" t="s">
        <v>51</v>
      </c>
      <c r="Q1222" t="s">
        <v>21</v>
      </c>
    </row>
    <row r="1223" spans="1:17" x14ac:dyDescent="0.25">
      <c r="A1223" t="s">
        <v>1128</v>
      </c>
      <c r="B1223" t="s">
        <v>1129</v>
      </c>
      <c r="C1223" t="s">
        <v>19</v>
      </c>
      <c r="D1223">
        <v>37.71472</v>
      </c>
      <c r="E1223">
        <v>-103.50776999999999</v>
      </c>
      <c r="K1223">
        <v>0</v>
      </c>
      <c r="O1223" t="s">
        <v>51</v>
      </c>
      <c r="Q1223" t="s">
        <v>21</v>
      </c>
    </row>
    <row r="1224" spans="1:17" x14ac:dyDescent="0.25">
      <c r="A1224" t="s">
        <v>1132</v>
      </c>
      <c r="B1224" t="s">
        <v>1133</v>
      </c>
      <c r="C1224" t="s">
        <v>19</v>
      </c>
      <c r="D1224">
        <v>37.170830000000002</v>
      </c>
      <c r="E1224">
        <v>-104.50861</v>
      </c>
      <c r="K1224">
        <v>0</v>
      </c>
      <c r="O1224" t="s">
        <v>51</v>
      </c>
      <c r="Q1224" t="s">
        <v>21</v>
      </c>
    </row>
    <row r="1225" spans="1:17" x14ac:dyDescent="0.25">
      <c r="A1225" t="s">
        <v>1122</v>
      </c>
      <c r="B1225" t="s">
        <v>1123</v>
      </c>
      <c r="C1225" t="s">
        <v>19</v>
      </c>
      <c r="D1225">
        <v>37.143889999999999</v>
      </c>
      <c r="E1225">
        <v>-104.54722</v>
      </c>
      <c r="K1225">
        <v>0</v>
      </c>
      <c r="O1225" t="s">
        <v>51</v>
      </c>
      <c r="Q1225" t="s">
        <v>21</v>
      </c>
    </row>
    <row r="1226" spans="1:17" x14ac:dyDescent="0.25">
      <c r="A1226" t="s">
        <v>1124</v>
      </c>
      <c r="B1226" t="s">
        <v>1125</v>
      </c>
      <c r="C1226" t="s">
        <v>19</v>
      </c>
      <c r="D1226">
        <v>38.03389</v>
      </c>
      <c r="E1226">
        <v>-103.2</v>
      </c>
      <c r="K1226">
        <v>0</v>
      </c>
      <c r="O1226" t="s">
        <v>51</v>
      </c>
      <c r="Q1226" t="s">
        <v>21</v>
      </c>
    </row>
    <row r="1227" spans="1:17" x14ac:dyDescent="0.25">
      <c r="A1227" t="s">
        <v>1130</v>
      </c>
      <c r="B1227" t="s">
        <v>1131</v>
      </c>
      <c r="C1227" t="s">
        <v>19</v>
      </c>
      <c r="D1227">
        <v>37.356389999999998</v>
      </c>
      <c r="E1227">
        <v>-103.89972</v>
      </c>
      <c r="K1227">
        <v>0</v>
      </c>
      <c r="O1227" t="s">
        <v>51</v>
      </c>
      <c r="Q1227" t="s">
        <v>21</v>
      </c>
    </row>
    <row r="1228" spans="1:17" x14ac:dyDescent="0.25">
      <c r="A1228" t="s">
        <v>2213</v>
      </c>
      <c r="B1228" t="s">
        <v>2214</v>
      </c>
      <c r="C1228" t="s">
        <v>1643</v>
      </c>
      <c r="D1228">
        <v>32.869999999999997</v>
      </c>
      <c r="E1228">
        <v>-114.48</v>
      </c>
      <c r="G1228" t="s">
        <v>1589</v>
      </c>
      <c r="K1228">
        <v>0</v>
      </c>
      <c r="O1228" t="s">
        <v>34</v>
      </c>
      <c r="Q1228" t="s">
        <v>1988</v>
      </c>
    </row>
    <row r="1229" spans="1:17" x14ac:dyDescent="0.25">
      <c r="A1229" t="s">
        <v>2215</v>
      </c>
      <c r="B1229" t="s">
        <v>2216</v>
      </c>
      <c r="C1229" t="s">
        <v>1987</v>
      </c>
      <c r="D1229">
        <v>32.880000000000003</v>
      </c>
      <c r="E1229">
        <v>-114.46</v>
      </c>
      <c r="G1229" t="s">
        <v>1576</v>
      </c>
      <c r="K1229">
        <v>0</v>
      </c>
      <c r="O1229" t="s">
        <v>34</v>
      </c>
      <c r="Q1229" t="s">
        <v>1988</v>
      </c>
    </row>
    <row r="1230" spans="1:17" x14ac:dyDescent="0.25">
      <c r="A1230" t="s">
        <v>2217</v>
      </c>
      <c r="B1230" t="s">
        <v>2218</v>
      </c>
      <c r="C1230" t="s">
        <v>1987</v>
      </c>
      <c r="D1230">
        <v>32.880000000000003</v>
      </c>
      <c r="E1230">
        <v>-114.46</v>
      </c>
      <c r="G1230" t="s">
        <v>1576</v>
      </c>
      <c r="K1230">
        <v>0</v>
      </c>
      <c r="O1230" t="s">
        <v>34</v>
      </c>
      <c r="Q1230" t="s">
        <v>1988</v>
      </c>
    </row>
    <row r="1231" spans="1:17" x14ac:dyDescent="0.25">
      <c r="A1231" t="s">
        <v>2219</v>
      </c>
      <c r="B1231" t="s">
        <v>2220</v>
      </c>
      <c r="C1231" t="s">
        <v>1987</v>
      </c>
      <c r="D1231">
        <v>32.869999999999997</v>
      </c>
      <c r="E1231">
        <v>-114.48</v>
      </c>
      <c r="G1231" t="s">
        <v>1576</v>
      </c>
      <c r="K1231">
        <v>0</v>
      </c>
      <c r="O1231" t="s">
        <v>34</v>
      </c>
      <c r="Q1231" t="s">
        <v>1988</v>
      </c>
    </row>
    <row r="1232" spans="1:17" x14ac:dyDescent="0.25">
      <c r="A1232" t="s">
        <v>2221</v>
      </c>
      <c r="B1232" t="s">
        <v>2222</v>
      </c>
      <c r="C1232" t="s">
        <v>1987</v>
      </c>
      <c r="D1232">
        <v>32.880000000000003</v>
      </c>
      <c r="E1232">
        <v>-114.46</v>
      </c>
      <c r="G1232" t="s">
        <v>1576</v>
      </c>
      <c r="K1232">
        <v>0</v>
      </c>
      <c r="O1232" t="s">
        <v>34</v>
      </c>
      <c r="Q1232" t="s">
        <v>1988</v>
      </c>
    </row>
    <row r="1233" spans="1:17" x14ac:dyDescent="0.25">
      <c r="A1233" t="s">
        <v>2225</v>
      </c>
      <c r="B1233" t="s">
        <v>2226</v>
      </c>
      <c r="C1233" t="s">
        <v>1987</v>
      </c>
      <c r="D1233">
        <v>32.880000000000003</v>
      </c>
      <c r="E1233">
        <v>-114.46</v>
      </c>
      <c r="G1233" t="s">
        <v>1576</v>
      </c>
      <c r="K1233">
        <v>0</v>
      </c>
      <c r="O1233" t="s">
        <v>34</v>
      </c>
      <c r="Q1233" t="s">
        <v>1988</v>
      </c>
    </row>
    <row r="1234" spans="1:17" x14ac:dyDescent="0.25">
      <c r="A1234" t="s">
        <v>2223</v>
      </c>
      <c r="B1234" t="s">
        <v>2224</v>
      </c>
      <c r="C1234" t="s">
        <v>1987</v>
      </c>
      <c r="D1234">
        <v>32.880000000000003</v>
      </c>
      <c r="E1234">
        <v>-114.46</v>
      </c>
      <c r="G1234" t="s">
        <v>1576</v>
      </c>
      <c r="K1234">
        <v>0</v>
      </c>
      <c r="O1234" t="s">
        <v>34</v>
      </c>
      <c r="Q1234" t="s">
        <v>1988</v>
      </c>
    </row>
    <row r="1235" spans="1:17" x14ac:dyDescent="0.25">
      <c r="A1235" t="s">
        <v>2227</v>
      </c>
      <c r="B1235" t="s">
        <v>2228</v>
      </c>
      <c r="C1235" t="s">
        <v>1643</v>
      </c>
      <c r="D1235">
        <v>32.729999999999997</v>
      </c>
      <c r="E1235">
        <v>-114.49</v>
      </c>
      <c r="G1235" t="s">
        <v>1589</v>
      </c>
      <c r="K1235">
        <v>0</v>
      </c>
      <c r="O1235" t="s">
        <v>34</v>
      </c>
      <c r="Q1235" t="s">
        <v>1988</v>
      </c>
    </row>
    <row r="1236" spans="1:17" x14ac:dyDescent="0.25">
      <c r="A1236" t="s">
        <v>3039</v>
      </c>
      <c r="B1236" t="s">
        <v>3040</v>
      </c>
      <c r="C1236" t="s">
        <v>19</v>
      </c>
      <c r="D1236">
        <v>38.559699999999999</v>
      </c>
      <c r="E1236">
        <v>-106.6358</v>
      </c>
      <c r="F1236">
        <v>8430</v>
      </c>
      <c r="G1236" t="s">
        <v>1576</v>
      </c>
      <c r="K1236">
        <v>0</v>
      </c>
      <c r="O1236" t="s">
        <v>51</v>
      </c>
      <c r="Q1236" t="s">
        <v>2284</v>
      </c>
    </row>
    <row r="1237" spans="1:17" x14ac:dyDescent="0.25">
      <c r="A1237" t="s">
        <v>3041</v>
      </c>
      <c r="B1237" t="s">
        <v>3042</v>
      </c>
      <c r="C1237" t="s">
        <v>2283</v>
      </c>
      <c r="D1237">
        <v>35.833300000000001</v>
      </c>
      <c r="E1237">
        <v>-106.38330000000001</v>
      </c>
      <c r="F1237">
        <v>9500</v>
      </c>
      <c r="G1237" t="s">
        <v>1576</v>
      </c>
      <c r="K1237">
        <v>0</v>
      </c>
      <c r="O1237" t="s">
        <v>57</v>
      </c>
      <c r="Q1237" t="s">
        <v>2284</v>
      </c>
    </row>
    <row r="1238" spans="1:17" x14ac:dyDescent="0.25">
      <c r="A1238" t="s">
        <v>3043</v>
      </c>
      <c r="B1238" t="s">
        <v>3044</v>
      </c>
      <c r="C1238" t="s">
        <v>19</v>
      </c>
      <c r="D1238">
        <v>40.366700000000002</v>
      </c>
      <c r="E1238">
        <v>-106.7333</v>
      </c>
      <c r="F1238">
        <v>9400</v>
      </c>
      <c r="G1238" t="s">
        <v>1576</v>
      </c>
      <c r="K1238">
        <v>0</v>
      </c>
      <c r="O1238" t="s">
        <v>57</v>
      </c>
      <c r="Q1238" t="s">
        <v>2284</v>
      </c>
    </row>
    <row r="1239" spans="1:17" x14ac:dyDescent="0.25">
      <c r="A1239" t="s">
        <v>1910</v>
      </c>
      <c r="B1239" t="s">
        <v>1911</v>
      </c>
      <c r="C1239" t="s">
        <v>410</v>
      </c>
      <c r="D1239">
        <v>47.8</v>
      </c>
      <c r="E1239">
        <v>-116.83333</v>
      </c>
      <c r="F1239">
        <v>673.61</v>
      </c>
      <c r="G1239" t="s">
        <v>1589</v>
      </c>
      <c r="H1239" s="1">
        <v>39547</v>
      </c>
      <c r="J1239" t="s">
        <v>1577</v>
      </c>
      <c r="K1239">
        <v>0</v>
      </c>
      <c r="L1239" t="s">
        <v>1578</v>
      </c>
      <c r="O1239" t="s">
        <v>151</v>
      </c>
      <c r="P1239" t="s">
        <v>1585</v>
      </c>
      <c r="Q1239" t="s">
        <v>1580</v>
      </c>
    </row>
    <row r="1240" spans="1:17" x14ac:dyDescent="0.25">
      <c r="A1240" t="s">
        <v>1136</v>
      </c>
      <c r="B1240" t="s">
        <v>1137</v>
      </c>
      <c r="C1240" t="s">
        <v>19</v>
      </c>
      <c r="D1240">
        <v>40.700000000000003</v>
      </c>
      <c r="E1240">
        <v>-106</v>
      </c>
      <c r="F1240">
        <v>9540</v>
      </c>
      <c r="K1240">
        <v>0</v>
      </c>
      <c r="O1240" t="s">
        <v>57</v>
      </c>
      <c r="Q1240" t="s">
        <v>21</v>
      </c>
    </row>
    <row r="1241" spans="1:17" x14ac:dyDescent="0.25">
      <c r="A1241" t="s">
        <v>1144</v>
      </c>
      <c r="B1241" t="s">
        <v>1145</v>
      </c>
      <c r="C1241" t="s">
        <v>37</v>
      </c>
      <c r="D1241">
        <v>42.125549999999997</v>
      </c>
      <c r="E1241">
        <v>-104.32666999999999</v>
      </c>
      <c r="K1241">
        <v>0</v>
      </c>
      <c r="O1241" t="s">
        <v>51</v>
      </c>
      <c r="Q1241" t="s">
        <v>21</v>
      </c>
    </row>
    <row r="1242" spans="1:17" x14ac:dyDescent="0.25">
      <c r="A1242" t="s">
        <v>3045</v>
      </c>
      <c r="B1242" t="s">
        <v>3046</v>
      </c>
      <c r="C1242" t="s">
        <v>1622</v>
      </c>
      <c r="D1242">
        <v>37.680799999999998</v>
      </c>
      <c r="E1242">
        <v>-109.4619</v>
      </c>
      <c r="F1242">
        <v>6120</v>
      </c>
      <c r="G1242" t="s">
        <v>1576</v>
      </c>
      <c r="K1242">
        <v>0</v>
      </c>
      <c r="O1242" t="s">
        <v>51</v>
      </c>
      <c r="Q1242" t="s">
        <v>2284</v>
      </c>
    </row>
    <row r="1243" spans="1:17" x14ac:dyDescent="0.25">
      <c r="A1243" t="s">
        <v>3047</v>
      </c>
      <c r="B1243" t="s">
        <v>3048</v>
      </c>
      <c r="C1243" t="s">
        <v>1622</v>
      </c>
      <c r="D1243">
        <v>37.755600000000001</v>
      </c>
      <c r="E1243">
        <v>-109.47580000000001</v>
      </c>
      <c r="F1243">
        <v>7200</v>
      </c>
      <c r="G1243" t="s">
        <v>1576</v>
      </c>
      <c r="K1243">
        <v>0</v>
      </c>
      <c r="O1243" t="s">
        <v>51</v>
      </c>
      <c r="Q1243" t="s">
        <v>2284</v>
      </c>
    </row>
    <row r="1244" spans="1:17" x14ac:dyDescent="0.25">
      <c r="A1244" t="s">
        <v>3049</v>
      </c>
      <c r="B1244" t="s">
        <v>3050</v>
      </c>
      <c r="C1244" t="s">
        <v>1622</v>
      </c>
      <c r="D1244">
        <v>40.32</v>
      </c>
      <c r="E1244">
        <v>-109.23</v>
      </c>
      <c r="F1244">
        <v>5560.7</v>
      </c>
      <c r="G1244" t="s">
        <v>1576</v>
      </c>
      <c r="K1244">
        <v>0</v>
      </c>
      <c r="O1244" t="s">
        <v>30</v>
      </c>
      <c r="Q1244" t="s">
        <v>2284</v>
      </c>
    </row>
    <row r="1245" spans="1:17" x14ac:dyDescent="0.25">
      <c r="A1245" t="s">
        <v>3053</v>
      </c>
      <c r="B1245" t="s">
        <v>3054</v>
      </c>
      <c r="C1245" t="s">
        <v>19</v>
      </c>
      <c r="D1245">
        <v>37.9</v>
      </c>
      <c r="E1245">
        <v>-107.7167</v>
      </c>
      <c r="F1245">
        <v>11150</v>
      </c>
      <c r="G1245" t="s">
        <v>1576</v>
      </c>
      <c r="K1245">
        <v>0</v>
      </c>
      <c r="O1245" t="s">
        <v>57</v>
      </c>
      <c r="Q1245" t="s">
        <v>2284</v>
      </c>
    </row>
    <row r="1246" spans="1:17" x14ac:dyDescent="0.25">
      <c r="A1246" t="s">
        <v>3055</v>
      </c>
      <c r="B1246" t="s">
        <v>3056</v>
      </c>
      <c r="C1246" t="s">
        <v>1622</v>
      </c>
      <c r="D1246">
        <v>39.466700000000003</v>
      </c>
      <c r="E1246">
        <v>-111.2667</v>
      </c>
      <c r="F1246">
        <v>9200</v>
      </c>
      <c r="G1246" t="s">
        <v>1576</v>
      </c>
      <c r="K1246">
        <v>0</v>
      </c>
      <c r="O1246" t="s">
        <v>57</v>
      </c>
      <c r="Q1246" t="s">
        <v>2284</v>
      </c>
    </row>
    <row r="1247" spans="1:17" x14ac:dyDescent="0.25">
      <c r="A1247" t="s">
        <v>3057</v>
      </c>
      <c r="B1247" t="s">
        <v>3058</v>
      </c>
      <c r="C1247" t="s">
        <v>2283</v>
      </c>
      <c r="D1247">
        <v>36.6828</v>
      </c>
      <c r="E1247">
        <v>-105.6542</v>
      </c>
      <c r="G1247" t="s">
        <v>1576</v>
      </c>
      <c r="K1247">
        <v>0</v>
      </c>
      <c r="O1247" t="s">
        <v>51</v>
      </c>
      <c r="Q1247" t="s">
        <v>2284</v>
      </c>
    </row>
    <row r="1248" spans="1:17" x14ac:dyDescent="0.25">
      <c r="A1248" t="s">
        <v>3059</v>
      </c>
      <c r="B1248" t="s">
        <v>3060</v>
      </c>
      <c r="C1248" t="s">
        <v>2283</v>
      </c>
      <c r="D1248">
        <v>36.703299999999999</v>
      </c>
      <c r="E1248">
        <v>-105.56780000000001</v>
      </c>
      <c r="G1248" t="s">
        <v>1576</v>
      </c>
      <c r="K1248">
        <v>0</v>
      </c>
      <c r="O1248" t="s">
        <v>51</v>
      </c>
      <c r="Q1248" t="s">
        <v>2284</v>
      </c>
    </row>
    <row r="1249" spans="1:17" x14ac:dyDescent="0.25">
      <c r="A1249" t="s">
        <v>3061</v>
      </c>
      <c r="B1249" t="s">
        <v>3062</v>
      </c>
      <c r="C1249" t="s">
        <v>2283</v>
      </c>
      <c r="D1249">
        <v>36.700000000000003</v>
      </c>
      <c r="E1249">
        <v>-105.33329999999999</v>
      </c>
      <c r="F1249">
        <v>9850</v>
      </c>
      <c r="G1249" t="s">
        <v>1576</v>
      </c>
      <c r="K1249">
        <v>0</v>
      </c>
      <c r="O1249" t="s">
        <v>57</v>
      </c>
      <c r="Q1249" t="s">
        <v>2284</v>
      </c>
    </row>
    <row r="1250" spans="1:17" x14ac:dyDescent="0.25">
      <c r="A1250" t="s">
        <v>1178</v>
      </c>
      <c r="B1250" t="s">
        <v>1179</v>
      </c>
      <c r="C1250" t="s">
        <v>41</v>
      </c>
      <c r="D1250">
        <v>44.61694</v>
      </c>
      <c r="E1250">
        <v>-111.65584</v>
      </c>
      <c r="K1250">
        <v>0</v>
      </c>
      <c r="O1250" t="s">
        <v>51</v>
      </c>
      <c r="Q1250" t="s">
        <v>21</v>
      </c>
    </row>
    <row r="1251" spans="1:17" x14ac:dyDescent="0.25">
      <c r="A1251" t="s">
        <v>1186</v>
      </c>
      <c r="B1251" t="s">
        <v>1187</v>
      </c>
      <c r="C1251" t="s">
        <v>26</v>
      </c>
      <c r="D1251">
        <v>40.401389999999999</v>
      </c>
      <c r="E1251">
        <v>-100.77916999999999</v>
      </c>
      <c r="K1251">
        <v>0</v>
      </c>
      <c r="O1251" t="s">
        <v>51</v>
      </c>
      <c r="Q1251" t="s">
        <v>21</v>
      </c>
    </row>
    <row r="1252" spans="1:17" x14ac:dyDescent="0.25">
      <c r="A1252" t="s">
        <v>1188</v>
      </c>
      <c r="B1252" t="s">
        <v>1189</v>
      </c>
      <c r="C1252" t="s">
        <v>26</v>
      </c>
      <c r="D1252">
        <v>40.281669999999998</v>
      </c>
      <c r="E1252">
        <v>-100.54195</v>
      </c>
      <c r="K1252">
        <v>0</v>
      </c>
      <c r="O1252" t="s">
        <v>20</v>
      </c>
      <c r="Q1252" t="s">
        <v>21</v>
      </c>
    </row>
    <row r="1253" spans="1:17" x14ac:dyDescent="0.25">
      <c r="A1253" t="s">
        <v>3051</v>
      </c>
      <c r="B1253" t="s">
        <v>3052</v>
      </c>
      <c r="C1253" t="s">
        <v>19</v>
      </c>
      <c r="D1253">
        <v>39.030299999999997</v>
      </c>
      <c r="E1253">
        <v>-108.5642</v>
      </c>
      <c r="G1253" t="s">
        <v>1576</v>
      </c>
      <c r="K1253">
        <v>0</v>
      </c>
      <c r="O1253" t="s">
        <v>20</v>
      </c>
      <c r="Q1253" t="s">
        <v>2284</v>
      </c>
    </row>
    <row r="1254" spans="1:17" x14ac:dyDescent="0.25">
      <c r="A1254" t="s">
        <v>1152</v>
      </c>
      <c r="B1254" t="s">
        <v>1153</v>
      </c>
      <c r="C1254" t="s">
        <v>37</v>
      </c>
      <c r="D1254">
        <v>42.566670000000002</v>
      </c>
      <c r="E1254">
        <v>-106.08334000000001</v>
      </c>
      <c r="F1254">
        <v>8500</v>
      </c>
      <c r="K1254">
        <v>0</v>
      </c>
      <c r="O1254" t="s">
        <v>57</v>
      </c>
      <c r="Q1254" t="s">
        <v>21</v>
      </c>
    </row>
    <row r="1255" spans="1:17" x14ac:dyDescent="0.25">
      <c r="A1255" t="s">
        <v>1172</v>
      </c>
      <c r="B1255" t="s">
        <v>1173</v>
      </c>
      <c r="C1255" t="s">
        <v>26</v>
      </c>
      <c r="D1255">
        <v>40.091670000000001</v>
      </c>
      <c r="E1255">
        <v>-98.769450000000006</v>
      </c>
      <c r="K1255">
        <v>0</v>
      </c>
      <c r="O1255" t="s">
        <v>51</v>
      </c>
      <c r="Q1255" t="s">
        <v>21</v>
      </c>
    </row>
    <row r="1256" spans="1:17" x14ac:dyDescent="0.25">
      <c r="A1256" t="s">
        <v>1912</v>
      </c>
      <c r="B1256" t="s">
        <v>1913</v>
      </c>
      <c r="C1256" t="s">
        <v>410</v>
      </c>
      <c r="D1256">
        <v>43.85</v>
      </c>
      <c r="E1256">
        <v>-111.76666</v>
      </c>
      <c r="F1256">
        <v>1485.9</v>
      </c>
      <c r="G1256" t="s">
        <v>1576</v>
      </c>
      <c r="H1256" s="1">
        <v>31929</v>
      </c>
      <c r="J1256" t="s">
        <v>1577</v>
      </c>
      <c r="K1256">
        <v>0</v>
      </c>
      <c r="L1256" t="s">
        <v>1578</v>
      </c>
      <c r="O1256" t="s">
        <v>151</v>
      </c>
      <c r="P1256" t="s">
        <v>1585</v>
      </c>
      <c r="Q1256" t="s">
        <v>1580</v>
      </c>
    </row>
    <row r="1257" spans="1:17" x14ac:dyDescent="0.25">
      <c r="A1257" t="s">
        <v>3063</v>
      </c>
      <c r="B1257" t="s">
        <v>3064</v>
      </c>
      <c r="C1257" t="s">
        <v>19</v>
      </c>
      <c r="D1257">
        <v>38.235799999999998</v>
      </c>
      <c r="E1257">
        <v>-107.75749999999999</v>
      </c>
      <c r="F1257">
        <v>6841.8</v>
      </c>
      <c r="G1257" t="s">
        <v>1576</v>
      </c>
      <c r="K1257">
        <v>0</v>
      </c>
      <c r="O1257" t="s">
        <v>30</v>
      </c>
      <c r="Q1257" t="s">
        <v>2284</v>
      </c>
    </row>
    <row r="1258" spans="1:17" x14ac:dyDescent="0.25">
      <c r="A1258" t="s">
        <v>3065</v>
      </c>
      <c r="B1258" t="s">
        <v>3066</v>
      </c>
      <c r="C1258" t="s">
        <v>19</v>
      </c>
      <c r="D1258">
        <v>39.626899999999999</v>
      </c>
      <c r="E1258">
        <v>-107.7569</v>
      </c>
      <c r="F1258">
        <v>5860</v>
      </c>
      <c r="G1258" t="s">
        <v>1576</v>
      </c>
      <c r="K1258">
        <v>0</v>
      </c>
      <c r="O1258" t="s">
        <v>51</v>
      </c>
      <c r="Q1258" t="s">
        <v>2284</v>
      </c>
    </row>
    <row r="1259" spans="1:17" x14ac:dyDescent="0.25">
      <c r="A1259" t="s">
        <v>3067</v>
      </c>
      <c r="B1259" t="s">
        <v>3068</v>
      </c>
      <c r="C1259" t="s">
        <v>19</v>
      </c>
      <c r="D1259">
        <v>32.619999999999997</v>
      </c>
      <c r="E1259">
        <v>-107.7628</v>
      </c>
      <c r="F1259">
        <v>5960</v>
      </c>
      <c r="G1259" t="s">
        <v>1576</v>
      </c>
      <c r="K1259">
        <v>0</v>
      </c>
      <c r="O1259" t="s">
        <v>30</v>
      </c>
      <c r="Q1259" t="s">
        <v>2284</v>
      </c>
    </row>
    <row r="1260" spans="1:17" x14ac:dyDescent="0.25">
      <c r="A1260" t="s">
        <v>1148</v>
      </c>
      <c r="B1260" t="s">
        <v>1149</v>
      </c>
      <c r="C1260" t="s">
        <v>19</v>
      </c>
      <c r="D1260">
        <v>39.630000000000003</v>
      </c>
      <c r="E1260">
        <v>-107.76222</v>
      </c>
      <c r="K1260">
        <v>0</v>
      </c>
      <c r="O1260" t="s">
        <v>30</v>
      </c>
      <c r="Q1260" t="s">
        <v>21</v>
      </c>
    </row>
    <row r="1261" spans="1:17" x14ac:dyDescent="0.25">
      <c r="A1261" t="s">
        <v>1894</v>
      </c>
      <c r="B1261" t="s">
        <v>1895</v>
      </c>
      <c r="C1261" t="s">
        <v>410</v>
      </c>
      <c r="D1261">
        <v>43.677199999999999</v>
      </c>
      <c r="E1261">
        <v>-111.87922</v>
      </c>
      <c r="F1261">
        <v>1488</v>
      </c>
      <c r="G1261" t="s">
        <v>1576</v>
      </c>
      <c r="H1261" s="1">
        <v>41711</v>
      </c>
      <c r="J1261" t="s">
        <v>1577</v>
      </c>
      <c r="K1261">
        <v>0</v>
      </c>
      <c r="L1261" t="s">
        <v>1578</v>
      </c>
      <c r="O1261" t="s">
        <v>151</v>
      </c>
      <c r="P1261" t="s">
        <v>1585</v>
      </c>
      <c r="Q1261" t="s">
        <v>1580</v>
      </c>
    </row>
    <row r="1262" spans="1:17" x14ac:dyDescent="0.25">
      <c r="A1262" t="s">
        <v>3069</v>
      </c>
      <c r="B1262" t="s">
        <v>3070</v>
      </c>
      <c r="C1262" t="s">
        <v>19</v>
      </c>
      <c r="D1262">
        <v>37.193600000000004</v>
      </c>
      <c r="E1262">
        <v>-106.90470000000001</v>
      </c>
      <c r="F1262">
        <v>7330</v>
      </c>
      <c r="G1262" t="s">
        <v>1576</v>
      </c>
      <c r="K1262">
        <v>0</v>
      </c>
      <c r="O1262" t="s">
        <v>51</v>
      </c>
      <c r="Q1262" t="s">
        <v>2284</v>
      </c>
    </row>
    <row r="1263" spans="1:17" x14ac:dyDescent="0.25">
      <c r="A1263" t="s">
        <v>3071</v>
      </c>
      <c r="B1263" t="s">
        <v>3072</v>
      </c>
      <c r="C1263" t="s">
        <v>19</v>
      </c>
      <c r="D1263">
        <v>37.212800000000001</v>
      </c>
      <c r="E1263">
        <v>-106.79389999999999</v>
      </c>
      <c r="F1263">
        <v>7950</v>
      </c>
      <c r="G1263" t="s">
        <v>1576</v>
      </c>
      <c r="K1263">
        <v>0</v>
      </c>
      <c r="O1263" t="s">
        <v>51</v>
      </c>
      <c r="Q1263" t="s">
        <v>2284</v>
      </c>
    </row>
    <row r="1264" spans="1:17" x14ac:dyDescent="0.25">
      <c r="A1264" t="s">
        <v>3073</v>
      </c>
      <c r="B1264" t="s">
        <v>3074</v>
      </c>
      <c r="C1264" t="s">
        <v>2283</v>
      </c>
      <c r="D1264">
        <v>33.125</v>
      </c>
      <c r="E1264">
        <v>-104.34439999999999</v>
      </c>
      <c r="F1264">
        <v>3403.4</v>
      </c>
      <c r="G1264" t="s">
        <v>1576</v>
      </c>
      <c r="K1264">
        <v>0</v>
      </c>
      <c r="O1264" t="s">
        <v>51</v>
      </c>
      <c r="Q1264" t="s">
        <v>2284</v>
      </c>
    </row>
    <row r="1265" spans="1:17" x14ac:dyDescent="0.25">
      <c r="A1265" t="s">
        <v>3075</v>
      </c>
      <c r="B1265" t="s">
        <v>3076</v>
      </c>
      <c r="C1265" t="s">
        <v>2283</v>
      </c>
      <c r="D1265">
        <v>33.926699999999997</v>
      </c>
      <c r="E1265">
        <v>-106.85080000000001</v>
      </c>
      <c r="G1265" t="s">
        <v>1576</v>
      </c>
      <c r="K1265">
        <v>0</v>
      </c>
      <c r="O1265" t="s">
        <v>51</v>
      </c>
      <c r="Q1265" t="s">
        <v>2284</v>
      </c>
    </row>
    <row r="1266" spans="1:17" x14ac:dyDescent="0.25">
      <c r="A1266" t="s">
        <v>3077</v>
      </c>
      <c r="B1266" t="s">
        <v>3078</v>
      </c>
      <c r="C1266" t="s">
        <v>2283</v>
      </c>
      <c r="D1266">
        <v>35.197200000000002</v>
      </c>
      <c r="E1266">
        <v>-106.6429</v>
      </c>
      <c r="G1266" t="s">
        <v>1576</v>
      </c>
      <c r="K1266">
        <v>0</v>
      </c>
      <c r="O1266" t="s">
        <v>51</v>
      </c>
      <c r="Q1266" t="s">
        <v>2284</v>
      </c>
    </row>
    <row r="1267" spans="1:17" x14ac:dyDescent="0.25">
      <c r="A1267" t="s">
        <v>3079</v>
      </c>
      <c r="B1267" t="s">
        <v>3080</v>
      </c>
      <c r="C1267" t="s">
        <v>2283</v>
      </c>
      <c r="D1267">
        <v>35.089199999999998</v>
      </c>
      <c r="E1267">
        <v>-106.68089999999999</v>
      </c>
      <c r="G1267" t="s">
        <v>1576</v>
      </c>
      <c r="K1267">
        <v>0</v>
      </c>
      <c r="O1267" t="s">
        <v>51</v>
      </c>
      <c r="Q1267" t="s">
        <v>2284</v>
      </c>
    </row>
    <row r="1268" spans="1:17" x14ac:dyDescent="0.25">
      <c r="A1268" t="s">
        <v>3081</v>
      </c>
      <c r="B1268" t="s">
        <v>3082</v>
      </c>
      <c r="C1268" t="s">
        <v>2283</v>
      </c>
      <c r="D1268">
        <v>34.121099999999998</v>
      </c>
      <c r="E1268">
        <v>-106.8869</v>
      </c>
      <c r="G1268" t="s">
        <v>1576</v>
      </c>
      <c r="K1268">
        <v>0</v>
      </c>
      <c r="O1268" t="s">
        <v>51</v>
      </c>
      <c r="Q1268" t="s">
        <v>2284</v>
      </c>
    </row>
    <row r="1269" spans="1:17" x14ac:dyDescent="0.25">
      <c r="A1269" t="s">
        <v>3083</v>
      </c>
      <c r="B1269" t="s">
        <v>3084</v>
      </c>
      <c r="C1269" t="s">
        <v>86</v>
      </c>
      <c r="D1269">
        <v>31.914999999999999</v>
      </c>
      <c r="E1269">
        <v>-106.6014</v>
      </c>
      <c r="G1269" t="s">
        <v>1576</v>
      </c>
      <c r="K1269">
        <v>0</v>
      </c>
      <c r="O1269" t="s">
        <v>51</v>
      </c>
      <c r="Q1269" t="s">
        <v>2284</v>
      </c>
    </row>
    <row r="1270" spans="1:17" x14ac:dyDescent="0.25">
      <c r="A1270" t="s">
        <v>3085</v>
      </c>
      <c r="B1270" t="s">
        <v>3086</v>
      </c>
      <c r="C1270" t="s">
        <v>86</v>
      </c>
      <c r="D1270">
        <v>31.802800000000001</v>
      </c>
      <c r="E1270">
        <v>-106.5403</v>
      </c>
      <c r="G1270" t="s">
        <v>1576</v>
      </c>
      <c r="K1270">
        <v>0</v>
      </c>
      <c r="O1270" t="s">
        <v>51</v>
      </c>
      <c r="Q1270" t="s">
        <v>2284</v>
      </c>
    </row>
    <row r="1271" spans="1:17" x14ac:dyDescent="0.25">
      <c r="A1271" t="s">
        <v>3087</v>
      </c>
      <c r="B1271" t="s">
        <v>3088</v>
      </c>
      <c r="C1271" t="s">
        <v>2283</v>
      </c>
      <c r="D1271">
        <v>36.205599999999997</v>
      </c>
      <c r="E1271">
        <v>-105.9649</v>
      </c>
      <c r="G1271" t="s">
        <v>1576</v>
      </c>
      <c r="K1271">
        <v>0</v>
      </c>
      <c r="O1271" t="s">
        <v>51</v>
      </c>
      <c r="Q1271" t="s">
        <v>2284</v>
      </c>
    </row>
    <row r="1272" spans="1:17" x14ac:dyDescent="0.25">
      <c r="A1272" t="s">
        <v>3089</v>
      </c>
      <c r="B1272" t="s">
        <v>3090</v>
      </c>
      <c r="C1272" t="s">
        <v>86</v>
      </c>
      <c r="D1272">
        <v>31.086099999999998</v>
      </c>
      <c r="E1272">
        <v>-105.6083</v>
      </c>
      <c r="F1272">
        <v>3600</v>
      </c>
      <c r="G1272" t="s">
        <v>1576</v>
      </c>
      <c r="K1272">
        <v>0</v>
      </c>
      <c r="O1272" t="s">
        <v>51</v>
      </c>
      <c r="Q1272" t="s">
        <v>2284</v>
      </c>
    </row>
    <row r="1273" spans="1:17" x14ac:dyDescent="0.25">
      <c r="A1273" t="s">
        <v>3091</v>
      </c>
      <c r="B1273" t="s">
        <v>3092</v>
      </c>
      <c r="C1273" t="s">
        <v>2283</v>
      </c>
      <c r="D1273">
        <v>32.613300000000002</v>
      </c>
      <c r="E1273">
        <v>-107.0194</v>
      </c>
      <c r="G1273" t="s">
        <v>1576</v>
      </c>
      <c r="K1273">
        <v>0</v>
      </c>
      <c r="O1273" t="s">
        <v>51</v>
      </c>
      <c r="Q1273" t="s">
        <v>2284</v>
      </c>
    </row>
    <row r="1274" spans="1:17" x14ac:dyDescent="0.25">
      <c r="A1274" t="s">
        <v>3093</v>
      </c>
      <c r="B1274" t="s">
        <v>3094</v>
      </c>
      <c r="C1274" t="s">
        <v>2283</v>
      </c>
      <c r="D1274">
        <v>34.9467</v>
      </c>
      <c r="E1274">
        <v>-106.6803</v>
      </c>
      <c r="F1274">
        <v>4870</v>
      </c>
      <c r="G1274" t="s">
        <v>1576</v>
      </c>
      <c r="K1274">
        <v>0</v>
      </c>
      <c r="O1274" t="s">
        <v>51</v>
      </c>
      <c r="Q1274" t="s">
        <v>2284</v>
      </c>
    </row>
    <row r="1275" spans="1:17" x14ac:dyDescent="0.25">
      <c r="A1275" t="s">
        <v>3095</v>
      </c>
      <c r="B1275" t="s">
        <v>3096</v>
      </c>
      <c r="C1275" t="s">
        <v>2283</v>
      </c>
      <c r="D1275">
        <v>35.874699999999997</v>
      </c>
      <c r="E1275">
        <v>-106.1417</v>
      </c>
      <c r="F1275">
        <v>5488</v>
      </c>
      <c r="G1275" t="s">
        <v>1576</v>
      </c>
      <c r="K1275">
        <v>0</v>
      </c>
      <c r="O1275" t="s">
        <v>51</v>
      </c>
      <c r="Q1275" t="s">
        <v>2284</v>
      </c>
    </row>
    <row r="1276" spans="1:17" x14ac:dyDescent="0.25">
      <c r="A1276" t="s">
        <v>3097</v>
      </c>
      <c r="B1276" t="s">
        <v>3098</v>
      </c>
      <c r="C1276" t="s">
        <v>2283</v>
      </c>
      <c r="D1276">
        <v>35.444600000000001</v>
      </c>
      <c r="E1276">
        <v>-106.43980000000001</v>
      </c>
      <c r="F1276">
        <v>5115.7299999999996</v>
      </c>
      <c r="G1276" t="s">
        <v>1576</v>
      </c>
      <c r="K1276">
        <v>0</v>
      </c>
      <c r="O1276" t="s">
        <v>51</v>
      </c>
      <c r="Q1276" t="s">
        <v>2284</v>
      </c>
    </row>
    <row r="1277" spans="1:17" x14ac:dyDescent="0.25">
      <c r="A1277" t="s">
        <v>3099</v>
      </c>
      <c r="B1277" t="s">
        <v>3100</v>
      </c>
      <c r="C1277" t="s">
        <v>2283</v>
      </c>
      <c r="D1277">
        <v>34.545000000000002</v>
      </c>
      <c r="E1277">
        <v>-106.76309999999999</v>
      </c>
      <c r="F1277">
        <v>0</v>
      </c>
      <c r="G1277" t="s">
        <v>1576</v>
      </c>
      <c r="K1277">
        <v>0</v>
      </c>
      <c r="O1277" t="s">
        <v>51</v>
      </c>
      <c r="Q1277" t="s">
        <v>2284</v>
      </c>
    </row>
    <row r="1278" spans="1:17" x14ac:dyDescent="0.25">
      <c r="A1278" t="s">
        <v>3109</v>
      </c>
      <c r="B1278" t="s">
        <v>3110</v>
      </c>
      <c r="C1278" t="s">
        <v>86</v>
      </c>
      <c r="D1278">
        <v>31.776399999999999</v>
      </c>
      <c r="E1278">
        <v>-106.5222</v>
      </c>
      <c r="G1278" t="s">
        <v>1576</v>
      </c>
      <c r="K1278">
        <v>0</v>
      </c>
      <c r="O1278" t="s">
        <v>51</v>
      </c>
      <c r="Q1278" t="s">
        <v>2284</v>
      </c>
    </row>
    <row r="1279" spans="1:17" x14ac:dyDescent="0.25">
      <c r="A1279" t="s">
        <v>3101</v>
      </c>
      <c r="B1279" t="s">
        <v>3102</v>
      </c>
      <c r="C1279" t="s">
        <v>2283</v>
      </c>
      <c r="D1279">
        <v>32.884700000000002</v>
      </c>
      <c r="E1279">
        <v>-107.2919</v>
      </c>
      <c r="F1279">
        <v>4141</v>
      </c>
      <c r="G1279" t="s">
        <v>1576</v>
      </c>
      <c r="K1279">
        <v>0</v>
      </c>
      <c r="O1279" t="s">
        <v>51</v>
      </c>
      <c r="Q1279" t="s">
        <v>2284</v>
      </c>
    </row>
    <row r="1280" spans="1:17" x14ac:dyDescent="0.25">
      <c r="A1280" t="s">
        <v>3103</v>
      </c>
      <c r="B1280" t="s">
        <v>3104</v>
      </c>
      <c r="C1280" t="s">
        <v>2283</v>
      </c>
      <c r="D1280">
        <v>35.618099999999998</v>
      </c>
      <c r="E1280">
        <v>-106.3233</v>
      </c>
      <c r="G1280" t="s">
        <v>1576</v>
      </c>
      <c r="K1280">
        <v>0</v>
      </c>
      <c r="O1280" t="s">
        <v>51</v>
      </c>
      <c r="Q1280" t="s">
        <v>2284</v>
      </c>
    </row>
    <row r="1281" spans="1:17" x14ac:dyDescent="0.25">
      <c r="A1281" t="s">
        <v>3111</v>
      </c>
      <c r="B1281" t="s">
        <v>3112</v>
      </c>
      <c r="C1281" t="s">
        <v>2283</v>
      </c>
      <c r="D1281">
        <v>33.148299999999999</v>
      </c>
      <c r="E1281">
        <v>-108.20610000000001</v>
      </c>
      <c r="F1281">
        <v>4241.09</v>
      </c>
      <c r="G1281" t="s">
        <v>1576</v>
      </c>
      <c r="K1281">
        <v>0</v>
      </c>
      <c r="O1281" t="s">
        <v>51</v>
      </c>
      <c r="Q1281" t="s">
        <v>2284</v>
      </c>
    </row>
    <row r="1282" spans="1:17" x14ac:dyDescent="0.25">
      <c r="A1282" t="s">
        <v>3105</v>
      </c>
      <c r="B1282" t="s">
        <v>3106</v>
      </c>
      <c r="C1282" t="s">
        <v>2283</v>
      </c>
      <c r="D1282">
        <v>32.479199999999999</v>
      </c>
      <c r="E1282">
        <v>-106.9192</v>
      </c>
      <c r="F1282">
        <v>4400</v>
      </c>
      <c r="G1282" t="s">
        <v>1576</v>
      </c>
      <c r="K1282">
        <v>0</v>
      </c>
      <c r="O1282" t="s">
        <v>51</v>
      </c>
      <c r="Q1282" t="s">
        <v>2284</v>
      </c>
    </row>
    <row r="1283" spans="1:17" x14ac:dyDescent="0.25">
      <c r="A1283" t="s">
        <v>3107</v>
      </c>
      <c r="B1283" t="s">
        <v>3108</v>
      </c>
      <c r="C1283" t="s">
        <v>2283</v>
      </c>
      <c r="D1283">
        <v>32.210299999999997</v>
      </c>
      <c r="E1283">
        <v>-106.7717</v>
      </c>
      <c r="G1283" t="s">
        <v>1576</v>
      </c>
      <c r="K1283">
        <v>0</v>
      </c>
      <c r="O1283" t="s">
        <v>51</v>
      </c>
      <c r="Q1283" t="s">
        <v>2284</v>
      </c>
    </row>
    <row r="1284" spans="1:17" x14ac:dyDescent="0.25">
      <c r="A1284" t="s">
        <v>3113</v>
      </c>
      <c r="B1284" t="s">
        <v>3114</v>
      </c>
      <c r="C1284" t="s">
        <v>2283</v>
      </c>
      <c r="D1284">
        <v>36.32</v>
      </c>
      <c r="E1284">
        <v>-105.7539</v>
      </c>
      <c r="G1284" t="s">
        <v>1576</v>
      </c>
      <c r="K1284">
        <v>0</v>
      </c>
      <c r="O1284" t="s">
        <v>51</v>
      </c>
      <c r="Q1284" t="s">
        <v>2284</v>
      </c>
    </row>
    <row r="1285" spans="1:17" x14ac:dyDescent="0.25">
      <c r="A1285" t="s">
        <v>3115</v>
      </c>
      <c r="B1285" t="s">
        <v>3116</v>
      </c>
      <c r="C1285" t="s">
        <v>2283</v>
      </c>
      <c r="D1285">
        <v>34.256399999999999</v>
      </c>
      <c r="E1285">
        <v>-106.8883</v>
      </c>
      <c r="F1285">
        <v>4652.5</v>
      </c>
      <c r="G1285" t="s">
        <v>1576</v>
      </c>
      <c r="K1285">
        <v>0</v>
      </c>
      <c r="O1285" t="s">
        <v>51</v>
      </c>
      <c r="Q1285" t="s">
        <v>2284</v>
      </c>
    </row>
    <row r="1286" spans="1:17" x14ac:dyDescent="0.25">
      <c r="A1286" t="s">
        <v>3117</v>
      </c>
      <c r="B1286" t="s">
        <v>3118</v>
      </c>
      <c r="C1286" t="s">
        <v>2283</v>
      </c>
      <c r="D1286">
        <v>33.6875</v>
      </c>
      <c r="E1286">
        <v>-106.9944</v>
      </c>
      <c r="G1286" t="s">
        <v>1576</v>
      </c>
      <c r="K1286">
        <v>0</v>
      </c>
      <c r="O1286" t="s">
        <v>51</v>
      </c>
      <c r="Q1286" t="s">
        <v>2284</v>
      </c>
    </row>
    <row r="1287" spans="1:17" x14ac:dyDescent="0.25">
      <c r="A1287" t="s">
        <v>3119</v>
      </c>
      <c r="B1287" t="s">
        <v>3120</v>
      </c>
      <c r="C1287" t="s">
        <v>2283</v>
      </c>
      <c r="D1287">
        <v>33.680599999999998</v>
      </c>
      <c r="E1287">
        <v>-106.99169999999999</v>
      </c>
      <c r="G1287" t="s">
        <v>1576</v>
      </c>
      <c r="K1287">
        <v>0</v>
      </c>
      <c r="O1287" t="s">
        <v>51</v>
      </c>
      <c r="Q1287" t="s">
        <v>2284</v>
      </c>
    </row>
    <row r="1288" spans="1:17" x14ac:dyDescent="0.25">
      <c r="A1288" t="s">
        <v>3121</v>
      </c>
      <c r="B1288" t="s">
        <v>3122</v>
      </c>
      <c r="C1288" t="s">
        <v>2283</v>
      </c>
      <c r="D1288">
        <v>33.680599999999998</v>
      </c>
      <c r="E1288">
        <v>-106.99290000000001</v>
      </c>
      <c r="G1288" t="s">
        <v>1576</v>
      </c>
      <c r="K1288">
        <v>0</v>
      </c>
      <c r="O1288" t="s">
        <v>51</v>
      </c>
      <c r="Q1288" t="s">
        <v>2284</v>
      </c>
    </row>
    <row r="1289" spans="1:17" x14ac:dyDescent="0.25">
      <c r="A1289" t="s">
        <v>3123</v>
      </c>
      <c r="B1289" t="s">
        <v>3124</v>
      </c>
      <c r="C1289" t="s">
        <v>2283</v>
      </c>
      <c r="D1289">
        <v>34.417000000000002</v>
      </c>
      <c r="E1289">
        <v>-106.801</v>
      </c>
      <c r="G1289" t="s">
        <v>1576</v>
      </c>
      <c r="K1289">
        <v>0</v>
      </c>
      <c r="O1289" t="s">
        <v>51</v>
      </c>
      <c r="Q1289" t="s">
        <v>2284</v>
      </c>
    </row>
    <row r="1290" spans="1:17" x14ac:dyDescent="0.25">
      <c r="A1290" t="s">
        <v>3125</v>
      </c>
      <c r="B1290" t="s">
        <v>3126</v>
      </c>
      <c r="C1290" t="s">
        <v>2283</v>
      </c>
      <c r="D1290">
        <v>34.870600000000003</v>
      </c>
      <c r="E1290">
        <v>-106.72</v>
      </c>
      <c r="F1290">
        <v>4860</v>
      </c>
      <c r="G1290" t="s">
        <v>1576</v>
      </c>
      <c r="K1290">
        <v>0</v>
      </c>
      <c r="O1290" t="s">
        <v>51</v>
      </c>
      <c r="Q1290" t="s">
        <v>2284</v>
      </c>
    </row>
    <row r="1291" spans="1:17" x14ac:dyDescent="0.25">
      <c r="A1291" t="s">
        <v>3127</v>
      </c>
      <c r="B1291" t="s">
        <v>3128</v>
      </c>
      <c r="C1291" t="s">
        <v>2283</v>
      </c>
      <c r="D1291">
        <v>36.74</v>
      </c>
      <c r="E1291">
        <v>-105.6831</v>
      </c>
      <c r="G1291" t="s">
        <v>1576</v>
      </c>
      <c r="K1291">
        <v>0</v>
      </c>
      <c r="O1291" t="s">
        <v>51</v>
      </c>
      <c r="Q1291" t="s">
        <v>2284</v>
      </c>
    </row>
    <row r="1292" spans="1:17" x14ac:dyDescent="0.25">
      <c r="A1292" t="s">
        <v>3129</v>
      </c>
      <c r="B1292" t="s">
        <v>3130</v>
      </c>
      <c r="C1292" t="s">
        <v>19</v>
      </c>
      <c r="D1292">
        <v>34.239400000000003</v>
      </c>
      <c r="E1292">
        <v>-106.4606</v>
      </c>
      <c r="G1292" t="s">
        <v>1576</v>
      </c>
      <c r="K1292">
        <v>0</v>
      </c>
      <c r="O1292" t="s">
        <v>51</v>
      </c>
      <c r="Q1292" t="s">
        <v>2284</v>
      </c>
    </row>
    <row r="1293" spans="1:17" x14ac:dyDescent="0.25">
      <c r="A1293" t="s">
        <v>3131</v>
      </c>
      <c r="B1293" t="s">
        <v>3132</v>
      </c>
      <c r="C1293" t="s">
        <v>2283</v>
      </c>
      <c r="D1293">
        <v>37.078299999999999</v>
      </c>
      <c r="E1293">
        <v>-105.7564</v>
      </c>
      <c r="G1293" t="s">
        <v>1576</v>
      </c>
      <c r="K1293">
        <v>0</v>
      </c>
      <c r="O1293" t="s">
        <v>51</v>
      </c>
      <c r="Q1293" t="s">
        <v>2284</v>
      </c>
    </row>
    <row r="1294" spans="1:17" x14ac:dyDescent="0.25">
      <c r="A1294" t="s">
        <v>3133</v>
      </c>
      <c r="B1294" t="s">
        <v>3134</v>
      </c>
      <c r="C1294" t="s">
        <v>2283</v>
      </c>
      <c r="D1294">
        <v>35.181800000000003</v>
      </c>
      <c r="E1294">
        <v>-106.65689999999999</v>
      </c>
      <c r="G1294" t="s">
        <v>1576</v>
      </c>
      <c r="K1294">
        <v>0</v>
      </c>
      <c r="O1294" t="s">
        <v>51</v>
      </c>
      <c r="Q1294" t="s">
        <v>2284</v>
      </c>
    </row>
    <row r="1295" spans="1:17" x14ac:dyDescent="0.25">
      <c r="A1295" t="s">
        <v>3135</v>
      </c>
      <c r="B1295" t="s">
        <v>3136</v>
      </c>
      <c r="C1295" t="s">
        <v>2283</v>
      </c>
      <c r="D1295">
        <v>33.349299999999999</v>
      </c>
      <c r="E1295">
        <v>-104.8519</v>
      </c>
      <c r="G1295" t="s">
        <v>1576</v>
      </c>
      <c r="K1295">
        <v>0</v>
      </c>
      <c r="O1295" t="s">
        <v>51</v>
      </c>
      <c r="Q1295" t="s">
        <v>2284</v>
      </c>
    </row>
    <row r="1296" spans="1:17" x14ac:dyDescent="0.25">
      <c r="A1296" t="s">
        <v>3137</v>
      </c>
      <c r="B1296" t="s">
        <v>3138</v>
      </c>
      <c r="C1296" t="s">
        <v>2283</v>
      </c>
      <c r="D1296">
        <v>33.371899999999997</v>
      </c>
      <c r="E1296">
        <v>-104.5453</v>
      </c>
      <c r="F1296">
        <v>3615</v>
      </c>
      <c r="G1296" t="s">
        <v>1576</v>
      </c>
      <c r="K1296">
        <v>0</v>
      </c>
      <c r="O1296" t="s">
        <v>51</v>
      </c>
      <c r="Q1296" t="s">
        <v>2284</v>
      </c>
    </row>
    <row r="1297" spans="1:17" x14ac:dyDescent="0.25">
      <c r="A1297" t="s">
        <v>3139</v>
      </c>
      <c r="B1297" t="s">
        <v>3140</v>
      </c>
      <c r="C1297" t="s">
        <v>2283</v>
      </c>
      <c r="D1297">
        <v>33.407299999999999</v>
      </c>
      <c r="E1297">
        <v>-104.4789</v>
      </c>
      <c r="G1297" t="s">
        <v>1576</v>
      </c>
      <c r="K1297">
        <v>0</v>
      </c>
      <c r="O1297" t="s">
        <v>51</v>
      </c>
      <c r="Q1297" t="s">
        <v>2284</v>
      </c>
    </row>
    <row r="1298" spans="1:17" x14ac:dyDescent="0.25">
      <c r="A1298" t="s">
        <v>3141</v>
      </c>
      <c r="B1298" t="s">
        <v>3142</v>
      </c>
      <c r="C1298" t="s">
        <v>2283</v>
      </c>
      <c r="D1298">
        <v>36.508299999999998</v>
      </c>
      <c r="E1298">
        <v>-105.5309</v>
      </c>
      <c r="G1298" t="s">
        <v>1576</v>
      </c>
      <c r="K1298">
        <v>0</v>
      </c>
      <c r="O1298" t="s">
        <v>51</v>
      </c>
      <c r="Q1298" t="s">
        <v>2284</v>
      </c>
    </row>
    <row r="1299" spans="1:17" x14ac:dyDescent="0.25">
      <c r="A1299" t="s">
        <v>3143</v>
      </c>
      <c r="B1299" t="s">
        <v>3144</v>
      </c>
      <c r="C1299" t="s">
        <v>2283</v>
      </c>
      <c r="D1299">
        <v>35.850099999999998</v>
      </c>
      <c r="E1299">
        <v>-105.8944</v>
      </c>
      <c r="F1299">
        <v>6885</v>
      </c>
      <c r="G1299" t="s">
        <v>1576</v>
      </c>
      <c r="K1299">
        <v>0</v>
      </c>
      <c r="O1299" t="s">
        <v>51</v>
      </c>
      <c r="Q1299" t="s">
        <v>2284</v>
      </c>
    </row>
    <row r="1300" spans="1:17" x14ac:dyDescent="0.25">
      <c r="A1300" t="s">
        <v>3145</v>
      </c>
      <c r="B1300" t="s">
        <v>3146</v>
      </c>
      <c r="C1300" t="s">
        <v>2283</v>
      </c>
      <c r="D1300">
        <v>35.8461</v>
      </c>
      <c r="E1300">
        <v>-105.9059</v>
      </c>
      <c r="G1300" t="s">
        <v>1576</v>
      </c>
      <c r="K1300">
        <v>0</v>
      </c>
      <c r="O1300" t="s">
        <v>51</v>
      </c>
      <c r="Q1300" t="s">
        <v>2284</v>
      </c>
    </row>
    <row r="1301" spans="1:17" x14ac:dyDescent="0.25">
      <c r="A1301" t="s">
        <v>3147</v>
      </c>
      <c r="B1301" t="s">
        <v>3148</v>
      </c>
      <c r="C1301" t="s">
        <v>2283</v>
      </c>
      <c r="D1301">
        <v>36.349699999999999</v>
      </c>
      <c r="E1301">
        <v>-106.0436</v>
      </c>
      <c r="G1301" t="s">
        <v>1576</v>
      </c>
      <c r="K1301">
        <v>0</v>
      </c>
      <c r="O1301" t="s">
        <v>51</v>
      </c>
      <c r="Q1301" t="s">
        <v>2284</v>
      </c>
    </row>
    <row r="1302" spans="1:17" x14ac:dyDescent="0.25">
      <c r="A1302" t="s">
        <v>3149</v>
      </c>
      <c r="B1302" t="s">
        <v>3150</v>
      </c>
      <c r="C1302" t="s">
        <v>2283</v>
      </c>
      <c r="D1302">
        <v>32.743299999999998</v>
      </c>
      <c r="E1302">
        <v>-104.41419999999999</v>
      </c>
      <c r="G1302" t="s">
        <v>1576</v>
      </c>
      <c r="K1302">
        <v>0</v>
      </c>
      <c r="O1302" t="s">
        <v>51</v>
      </c>
      <c r="Q1302" t="s">
        <v>2284</v>
      </c>
    </row>
    <row r="1303" spans="1:17" x14ac:dyDescent="0.25">
      <c r="A1303" t="s">
        <v>3151</v>
      </c>
      <c r="B1303" t="s">
        <v>3152</v>
      </c>
      <c r="C1303" t="s">
        <v>2283</v>
      </c>
      <c r="D1303">
        <v>32.881399999999999</v>
      </c>
      <c r="E1303">
        <v>-105.1781</v>
      </c>
      <c r="F1303">
        <v>5290</v>
      </c>
      <c r="G1303" t="s">
        <v>1576</v>
      </c>
      <c r="K1303">
        <v>0</v>
      </c>
      <c r="O1303" t="s">
        <v>51</v>
      </c>
      <c r="Q1303" t="s">
        <v>2284</v>
      </c>
    </row>
    <row r="1304" spans="1:17" x14ac:dyDescent="0.25">
      <c r="A1304" t="s">
        <v>3153</v>
      </c>
      <c r="B1304" t="s">
        <v>3154</v>
      </c>
      <c r="C1304" t="s">
        <v>2283</v>
      </c>
      <c r="D1304">
        <v>32.8369</v>
      </c>
      <c r="E1304">
        <v>-105.0694</v>
      </c>
      <c r="F1304">
        <v>4931</v>
      </c>
      <c r="G1304" t="s">
        <v>1576</v>
      </c>
      <c r="K1304">
        <v>0</v>
      </c>
      <c r="O1304" t="s">
        <v>51</v>
      </c>
      <c r="Q1304" t="s">
        <v>2284</v>
      </c>
    </row>
    <row r="1305" spans="1:17" x14ac:dyDescent="0.25">
      <c r="A1305" t="s">
        <v>3155</v>
      </c>
      <c r="B1305" t="s">
        <v>3156</v>
      </c>
      <c r="C1305" t="s">
        <v>2283</v>
      </c>
      <c r="D1305">
        <v>36.377499999999998</v>
      </c>
      <c r="E1305">
        <v>-105.6681</v>
      </c>
      <c r="G1305" t="s">
        <v>1576</v>
      </c>
      <c r="K1305">
        <v>0</v>
      </c>
      <c r="O1305" t="s">
        <v>51</v>
      </c>
      <c r="Q1305" t="s">
        <v>2284</v>
      </c>
    </row>
    <row r="1306" spans="1:17" x14ac:dyDescent="0.25">
      <c r="A1306" t="s">
        <v>3157</v>
      </c>
      <c r="B1306" t="s">
        <v>3158</v>
      </c>
      <c r="C1306" t="s">
        <v>2283</v>
      </c>
      <c r="D1306">
        <v>36.439399999999999</v>
      </c>
      <c r="E1306">
        <v>-105.5039</v>
      </c>
      <c r="G1306" t="s">
        <v>1576</v>
      </c>
      <c r="K1306">
        <v>0</v>
      </c>
      <c r="O1306" t="s">
        <v>51</v>
      </c>
      <c r="Q1306" t="s">
        <v>2284</v>
      </c>
    </row>
    <row r="1307" spans="1:17" x14ac:dyDescent="0.25">
      <c r="A1307" t="s">
        <v>3159</v>
      </c>
      <c r="B1307" t="s">
        <v>3160</v>
      </c>
      <c r="C1307" t="s">
        <v>2283</v>
      </c>
      <c r="D1307">
        <v>36.1706</v>
      </c>
      <c r="E1307">
        <v>-105.611</v>
      </c>
      <c r="G1307" t="s">
        <v>1576</v>
      </c>
      <c r="K1307">
        <v>0</v>
      </c>
      <c r="O1307" t="s">
        <v>51</v>
      </c>
      <c r="Q1307" t="s">
        <v>2284</v>
      </c>
    </row>
    <row r="1308" spans="1:17" x14ac:dyDescent="0.25">
      <c r="A1308" t="s">
        <v>3161</v>
      </c>
      <c r="B1308" t="s">
        <v>3162</v>
      </c>
      <c r="C1308" t="s">
        <v>2283</v>
      </c>
      <c r="D1308">
        <v>35.601199999999999</v>
      </c>
      <c r="E1308">
        <v>-107.1669</v>
      </c>
      <c r="G1308" t="s">
        <v>1576</v>
      </c>
      <c r="K1308">
        <v>0</v>
      </c>
      <c r="O1308" t="s">
        <v>51</v>
      </c>
      <c r="Q1308" t="s">
        <v>2284</v>
      </c>
    </row>
    <row r="1309" spans="1:17" x14ac:dyDescent="0.25">
      <c r="A1309" t="s">
        <v>3163</v>
      </c>
      <c r="B1309" t="s">
        <v>3164</v>
      </c>
      <c r="C1309" t="s">
        <v>2283</v>
      </c>
      <c r="D1309">
        <v>34.410299999999999</v>
      </c>
      <c r="E1309">
        <v>-106.8544</v>
      </c>
      <c r="F1309">
        <v>4722.34</v>
      </c>
      <c r="G1309" t="s">
        <v>1576</v>
      </c>
      <c r="K1309">
        <v>0</v>
      </c>
      <c r="O1309" t="s">
        <v>51</v>
      </c>
      <c r="Q1309" t="s">
        <v>2284</v>
      </c>
    </row>
    <row r="1310" spans="1:17" x14ac:dyDescent="0.25">
      <c r="A1310" t="s">
        <v>3165</v>
      </c>
      <c r="B1310" t="s">
        <v>3166</v>
      </c>
      <c r="C1310" t="s">
        <v>2283</v>
      </c>
      <c r="D1310">
        <v>33.337600000000002</v>
      </c>
      <c r="E1310">
        <v>-105.721</v>
      </c>
      <c r="G1310" t="s">
        <v>1576</v>
      </c>
      <c r="K1310">
        <v>0</v>
      </c>
      <c r="O1310" t="s">
        <v>51</v>
      </c>
      <c r="Q1310" t="s">
        <v>2284</v>
      </c>
    </row>
    <row r="1311" spans="1:17" x14ac:dyDescent="0.25">
      <c r="A1311" t="s">
        <v>3167</v>
      </c>
      <c r="B1311" t="s">
        <v>3168</v>
      </c>
      <c r="C1311" t="s">
        <v>19</v>
      </c>
      <c r="D1311">
        <v>40.116700000000002</v>
      </c>
      <c r="E1311">
        <v>-107.3</v>
      </c>
      <c r="F1311">
        <v>10340</v>
      </c>
      <c r="G1311" t="s">
        <v>1576</v>
      </c>
      <c r="K1311">
        <v>0</v>
      </c>
      <c r="O1311" t="s">
        <v>57</v>
      </c>
      <c r="Q1311" t="s">
        <v>2284</v>
      </c>
    </row>
    <row r="1312" spans="1:17" x14ac:dyDescent="0.25">
      <c r="A1312" t="s">
        <v>1896</v>
      </c>
      <c r="B1312" t="s">
        <v>1897</v>
      </c>
      <c r="C1312" t="s">
        <v>410</v>
      </c>
      <c r="D1312">
        <v>43.582139400000003</v>
      </c>
      <c r="E1312">
        <v>-111.74284110000001</v>
      </c>
      <c r="F1312">
        <v>5119</v>
      </c>
      <c r="G1312" t="s">
        <v>1576</v>
      </c>
      <c r="H1312" s="2">
        <v>0</v>
      </c>
      <c r="J1312" t="s">
        <v>1594</v>
      </c>
      <c r="K1312">
        <v>0</v>
      </c>
      <c r="L1312" t="s">
        <v>1599</v>
      </c>
      <c r="O1312" t="s">
        <v>30</v>
      </c>
      <c r="P1312" t="s">
        <v>1585</v>
      </c>
      <c r="Q1312" t="s">
        <v>1580</v>
      </c>
    </row>
    <row r="1313" spans="1:17" x14ac:dyDescent="0.25">
      <c r="A1313" t="s">
        <v>1908</v>
      </c>
      <c r="B1313" t="s">
        <v>1909</v>
      </c>
      <c r="C1313" t="s">
        <v>410</v>
      </c>
      <c r="D1313">
        <v>43.610345000000002</v>
      </c>
      <c r="E1313">
        <v>-111.700605</v>
      </c>
      <c r="F1313">
        <v>1547</v>
      </c>
      <c r="G1313" t="s">
        <v>1576</v>
      </c>
      <c r="H1313" s="1">
        <v>41711</v>
      </c>
      <c r="J1313" t="s">
        <v>1577</v>
      </c>
      <c r="K1313">
        <v>0</v>
      </c>
      <c r="L1313" t="s">
        <v>1578</v>
      </c>
      <c r="O1313" t="s">
        <v>151</v>
      </c>
      <c r="P1313" t="s">
        <v>1585</v>
      </c>
      <c r="Q1313" t="s">
        <v>1580</v>
      </c>
    </row>
    <row r="1314" spans="1:17" x14ac:dyDescent="0.25">
      <c r="A1314" t="s">
        <v>1184</v>
      </c>
      <c r="B1314" t="s">
        <v>1185</v>
      </c>
      <c r="C1314" t="s">
        <v>37</v>
      </c>
      <c r="D1314">
        <v>43.026389999999999</v>
      </c>
      <c r="E1314">
        <v>-108.50584000000001</v>
      </c>
      <c r="K1314">
        <v>0</v>
      </c>
      <c r="O1314" t="s">
        <v>34</v>
      </c>
      <c r="Q1314" t="s">
        <v>21</v>
      </c>
    </row>
    <row r="1315" spans="1:17" x14ac:dyDescent="0.25">
      <c r="A1315" t="s">
        <v>1158</v>
      </c>
      <c r="B1315" t="s">
        <v>1159</v>
      </c>
      <c r="C1315" t="s">
        <v>19</v>
      </c>
      <c r="D1315">
        <v>40.766669999999998</v>
      </c>
      <c r="E1315">
        <v>-106.13333</v>
      </c>
      <c r="F1315">
        <v>9850</v>
      </c>
      <c r="K1315">
        <v>0</v>
      </c>
      <c r="O1315" t="s">
        <v>57</v>
      </c>
      <c r="Q1315" t="s">
        <v>21</v>
      </c>
    </row>
    <row r="1316" spans="1:17" x14ac:dyDescent="0.25">
      <c r="A1316" t="s">
        <v>1160</v>
      </c>
      <c r="B1316" t="s">
        <v>1161</v>
      </c>
      <c r="C1316" t="s">
        <v>19</v>
      </c>
      <c r="D1316">
        <v>39.141109999999998</v>
      </c>
      <c r="E1316">
        <v>-106.77361000000001</v>
      </c>
      <c r="K1316">
        <v>0</v>
      </c>
      <c r="O1316" t="s">
        <v>51</v>
      </c>
      <c r="Q1316" t="s">
        <v>21</v>
      </c>
    </row>
    <row r="1317" spans="1:17" x14ac:dyDescent="0.25">
      <c r="A1317" t="s">
        <v>1164</v>
      </c>
      <c r="B1317" t="s">
        <v>1165</v>
      </c>
      <c r="C1317" t="s">
        <v>19</v>
      </c>
      <c r="D1317">
        <v>39.543610000000001</v>
      </c>
      <c r="E1317">
        <v>-107.32889</v>
      </c>
      <c r="K1317">
        <v>0</v>
      </c>
      <c r="O1317" t="s">
        <v>51</v>
      </c>
      <c r="Q1317" t="s">
        <v>21</v>
      </c>
    </row>
    <row r="1318" spans="1:17" x14ac:dyDescent="0.25">
      <c r="A1318" t="s">
        <v>1156</v>
      </c>
      <c r="B1318" t="s">
        <v>1157</v>
      </c>
      <c r="C1318" t="s">
        <v>19</v>
      </c>
      <c r="D1318">
        <v>39.225000000000001</v>
      </c>
      <c r="E1318">
        <v>-106.85554999999999</v>
      </c>
      <c r="K1318">
        <v>0</v>
      </c>
      <c r="O1318" t="s">
        <v>51</v>
      </c>
      <c r="Q1318" t="s">
        <v>21</v>
      </c>
    </row>
    <row r="1319" spans="1:17" x14ac:dyDescent="0.25">
      <c r="A1319" t="s">
        <v>1154</v>
      </c>
      <c r="B1319" t="s">
        <v>1155</v>
      </c>
      <c r="C1319" t="s">
        <v>19</v>
      </c>
      <c r="D1319">
        <v>39.18</v>
      </c>
      <c r="E1319">
        <v>-106.80139</v>
      </c>
      <c r="K1319">
        <v>0</v>
      </c>
      <c r="O1319" t="s">
        <v>51</v>
      </c>
      <c r="Q1319" t="s">
        <v>21</v>
      </c>
    </row>
    <row r="1320" spans="1:17" x14ac:dyDescent="0.25">
      <c r="A1320" t="s">
        <v>1162</v>
      </c>
      <c r="B1320" t="s">
        <v>1163</v>
      </c>
      <c r="C1320" t="s">
        <v>19</v>
      </c>
      <c r="D1320">
        <v>39.373330000000003</v>
      </c>
      <c r="E1320">
        <v>-107.08334000000001</v>
      </c>
      <c r="K1320">
        <v>0</v>
      </c>
      <c r="O1320" t="s">
        <v>51</v>
      </c>
      <c r="Q1320" t="s">
        <v>21</v>
      </c>
    </row>
    <row r="1321" spans="1:17" x14ac:dyDescent="0.25">
      <c r="A1321" t="s">
        <v>1166</v>
      </c>
      <c r="B1321" t="s">
        <v>1167</v>
      </c>
      <c r="C1321" t="s">
        <v>19</v>
      </c>
      <c r="D1321">
        <v>39.120280000000001</v>
      </c>
      <c r="E1321">
        <v>-106.62417000000001</v>
      </c>
      <c r="K1321">
        <v>0</v>
      </c>
      <c r="O1321" t="s">
        <v>51</v>
      </c>
      <c r="Q1321" t="s">
        <v>21</v>
      </c>
    </row>
    <row r="1322" spans="1:17" x14ac:dyDescent="0.25">
      <c r="A1322" t="s">
        <v>2233</v>
      </c>
      <c r="B1322" t="s">
        <v>2234</v>
      </c>
      <c r="C1322" t="s">
        <v>1604</v>
      </c>
      <c r="D1322">
        <v>36.049999999999997</v>
      </c>
      <c r="E1322">
        <v>-114.8</v>
      </c>
      <c r="G1322" t="s">
        <v>1589</v>
      </c>
      <c r="K1322">
        <v>0</v>
      </c>
      <c r="O1322" t="s">
        <v>20</v>
      </c>
      <c r="Q1322" t="s">
        <v>1988</v>
      </c>
    </row>
    <row r="1323" spans="1:17" x14ac:dyDescent="0.25">
      <c r="A1323" t="s">
        <v>3169</v>
      </c>
      <c r="B1323" t="s">
        <v>3170</v>
      </c>
      <c r="C1323" t="s">
        <v>19</v>
      </c>
      <c r="D1323">
        <v>39.463900000000002</v>
      </c>
      <c r="E1323">
        <v>-105.6836</v>
      </c>
      <c r="G1323" t="s">
        <v>1576</v>
      </c>
      <c r="K1323">
        <v>0</v>
      </c>
      <c r="O1323" t="s">
        <v>20</v>
      </c>
      <c r="Q1323" t="s">
        <v>2284</v>
      </c>
    </row>
    <row r="1324" spans="1:17" x14ac:dyDescent="0.25">
      <c r="A1324" t="s">
        <v>1168</v>
      </c>
      <c r="B1324" t="s">
        <v>1169</v>
      </c>
      <c r="C1324" t="s">
        <v>19</v>
      </c>
      <c r="D1324">
        <v>39.483890000000002</v>
      </c>
      <c r="E1324">
        <v>-106.32333</v>
      </c>
      <c r="K1324">
        <v>0</v>
      </c>
      <c r="O1324" t="s">
        <v>34</v>
      </c>
      <c r="Q1324" t="s">
        <v>21</v>
      </c>
    </row>
    <row r="1325" spans="1:17" x14ac:dyDescent="0.25">
      <c r="A1325" t="s">
        <v>3173</v>
      </c>
      <c r="B1325" t="s">
        <v>3174</v>
      </c>
      <c r="C1325" t="s">
        <v>1622</v>
      </c>
      <c r="D1325">
        <v>40.549999999999997</v>
      </c>
      <c r="E1325">
        <v>-110.6833</v>
      </c>
      <c r="F1325">
        <v>7900</v>
      </c>
      <c r="G1325" t="s">
        <v>1576</v>
      </c>
      <c r="K1325">
        <v>0</v>
      </c>
      <c r="O1325" t="s">
        <v>57</v>
      </c>
      <c r="Q1325" t="s">
        <v>2284</v>
      </c>
    </row>
    <row r="1326" spans="1:17" x14ac:dyDescent="0.25">
      <c r="A1326" t="s">
        <v>3171</v>
      </c>
      <c r="B1326" t="s">
        <v>3172</v>
      </c>
      <c r="C1326" t="s">
        <v>1622</v>
      </c>
      <c r="D1326">
        <v>40.557499999999997</v>
      </c>
      <c r="E1326">
        <v>-110.6972</v>
      </c>
      <c r="F1326">
        <v>7967.7</v>
      </c>
      <c r="G1326" t="s">
        <v>1576</v>
      </c>
      <c r="K1326">
        <v>0</v>
      </c>
      <c r="O1326" t="s">
        <v>51</v>
      </c>
      <c r="Q1326" t="s">
        <v>2284</v>
      </c>
    </row>
    <row r="1327" spans="1:17" x14ac:dyDescent="0.25">
      <c r="A1327" t="s">
        <v>1142</v>
      </c>
      <c r="B1327" t="s">
        <v>1143</v>
      </c>
      <c r="C1327" t="s">
        <v>47</v>
      </c>
      <c r="D1327">
        <v>34.495280000000001</v>
      </c>
      <c r="E1327">
        <v>-96.988330000000005</v>
      </c>
      <c r="K1327">
        <v>0</v>
      </c>
      <c r="O1327" t="s">
        <v>51</v>
      </c>
      <c r="Q1327" t="s">
        <v>21</v>
      </c>
    </row>
    <row r="1328" spans="1:17" x14ac:dyDescent="0.25">
      <c r="A1328" t="s">
        <v>1150</v>
      </c>
      <c r="B1328" t="s">
        <v>1151</v>
      </c>
      <c r="C1328" t="s">
        <v>41</v>
      </c>
      <c r="D1328">
        <v>46.366660000000003</v>
      </c>
      <c r="E1328">
        <v>-112.25</v>
      </c>
      <c r="F1328">
        <v>8000</v>
      </c>
      <c r="K1328">
        <v>0</v>
      </c>
      <c r="O1328" t="s">
        <v>57</v>
      </c>
      <c r="Q1328" t="s">
        <v>21</v>
      </c>
    </row>
    <row r="1329" spans="1:17" x14ac:dyDescent="0.25">
      <c r="A1329" t="s">
        <v>3175</v>
      </c>
      <c r="B1329" t="s">
        <v>3176</v>
      </c>
      <c r="C1329" t="s">
        <v>1622</v>
      </c>
      <c r="D1329">
        <v>40.472499999999997</v>
      </c>
      <c r="E1329">
        <v>-111.24120000000001</v>
      </c>
      <c r="F1329">
        <v>6037</v>
      </c>
      <c r="G1329" t="s">
        <v>1576</v>
      </c>
      <c r="K1329">
        <v>0</v>
      </c>
      <c r="O1329" t="s">
        <v>30</v>
      </c>
      <c r="Q1329" t="s">
        <v>2284</v>
      </c>
    </row>
    <row r="1330" spans="1:17" x14ac:dyDescent="0.25">
      <c r="A1330" t="s">
        <v>3177</v>
      </c>
      <c r="B1330" t="s">
        <v>3178</v>
      </c>
      <c r="C1330" t="s">
        <v>2283</v>
      </c>
      <c r="D1330">
        <v>32.506100000000004</v>
      </c>
      <c r="E1330">
        <v>-104.375</v>
      </c>
      <c r="G1330" t="s">
        <v>1576</v>
      </c>
      <c r="K1330">
        <v>0</v>
      </c>
      <c r="O1330" t="s">
        <v>51</v>
      </c>
      <c r="Q1330" t="s">
        <v>2284</v>
      </c>
    </row>
    <row r="1331" spans="1:17" x14ac:dyDescent="0.25">
      <c r="A1331" t="s">
        <v>3179</v>
      </c>
      <c r="B1331" t="s">
        <v>3180</v>
      </c>
      <c r="C1331" t="s">
        <v>1622</v>
      </c>
      <c r="D1331">
        <v>40.433300000000003</v>
      </c>
      <c r="E1331">
        <v>-112.2167</v>
      </c>
      <c r="F1331">
        <v>8900</v>
      </c>
      <c r="G1331" t="s">
        <v>1576</v>
      </c>
      <c r="K1331">
        <v>0</v>
      </c>
      <c r="O1331" t="s">
        <v>57</v>
      </c>
      <c r="Q1331" t="s">
        <v>2284</v>
      </c>
    </row>
    <row r="1332" spans="1:17" x14ac:dyDescent="0.25">
      <c r="A1332" t="s">
        <v>1170</v>
      </c>
      <c r="B1332" t="s">
        <v>1171</v>
      </c>
      <c r="C1332" t="s">
        <v>41</v>
      </c>
      <c r="D1332">
        <v>48.183329999999998</v>
      </c>
      <c r="E1332">
        <v>-109.65</v>
      </c>
      <c r="F1332">
        <v>4700</v>
      </c>
      <c r="K1332">
        <v>0</v>
      </c>
      <c r="O1332" t="s">
        <v>57</v>
      </c>
      <c r="Q1332" t="s">
        <v>21</v>
      </c>
    </row>
    <row r="1333" spans="1:17" x14ac:dyDescent="0.25">
      <c r="A1333" t="s">
        <v>1146</v>
      </c>
      <c r="B1333" t="s">
        <v>1147</v>
      </c>
      <c r="C1333" t="s">
        <v>19</v>
      </c>
      <c r="D1333">
        <v>39.365549999999999</v>
      </c>
      <c r="E1333">
        <v>-106.82472</v>
      </c>
      <c r="K1333">
        <v>0</v>
      </c>
      <c r="O1333" t="s">
        <v>51</v>
      </c>
      <c r="Q1333" t="s">
        <v>21</v>
      </c>
    </row>
    <row r="1334" spans="1:17" x14ac:dyDescent="0.25">
      <c r="A1334" t="s">
        <v>3181</v>
      </c>
      <c r="B1334" t="s">
        <v>3182</v>
      </c>
      <c r="C1334" t="s">
        <v>19</v>
      </c>
      <c r="D1334">
        <v>38.734999999999999</v>
      </c>
      <c r="E1334">
        <v>-108.1611</v>
      </c>
      <c r="G1334" t="s">
        <v>1576</v>
      </c>
      <c r="K1334">
        <v>0</v>
      </c>
      <c r="O1334" t="s">
        <v>51</v>
      </c>
      <c r="Q1334" t="s">
        <v>2284</v>
      </c>
    </row>
    <row r="1335" spans="1:17" x14ac:dyDescent="0.25">
      <c r="A1335" t="s">
        <v>1888</v>
      </c>
      <c r="B1335" t="s">
        <v>1889</v>
      </c>
      <c r="C1335" t="s">
        <v>41</v>
      </c>
      <c r="D1335">
        <v>47.539439999999999</v>
      </c>
      <c r="E1335">
        <v>-114.28055000000001</v>
      </c>
      <c r="F1335">
        <v>926.59</v>
      </c>
      <c r="G1335" t="s">
        <v>1576</v>
      </c>
      <c r="H1335" s="1">
        <v>32568</v>
      </c>
      <c r="J1335" t="s">
        <v>1577</v>
      </c>
      <c r="K1335">
        <v>0</v>
      </c>
      <c r="L1335" t="s">
        <v>1578</v>
      </c>
      <c r="O1335" t="s">
        <v>151</v>
      </c>
      <c r="P1335" t="s">
        <v>1585</v>
      </c>
      <c r="Q1335" t="s">
        <v>1580</v>
      </c>
    </row>
    <row r="1336" spans="1:17" x14ac:dyDescent="0.25">
      <c r="A1336" t="s">
        <v>1174</v>
      </c>
      <c r="B1336" t="s">
        <v>1175</v>
      </c>
      <c r="C1336" t="s">
        <v>41</v>
      </c>
      <c r="D1336">
        <v>45.175280000000001</v>
      </c>
      <c r="E1336">
        <v>-112.14776999999999</v>
      </c>
      <c r="K1336">
        <v>0</v>
      </c>
      <c r="O1336" t="s">
        <v>51</v>
      </c>
      <c r="Q1336" t="s">
        <v>21</v>
      </c>
    </row>
    <row r="1337" spans="1:17" x14ac:dyDescent="0.25">
      <c r="A1337" t="s">
        <v>1176</v>
      </c>
      <c r="B1337" t="s">
        <v>1177</v>
      </c>
      <c r="C1337" t="s">
        <v>41</v>
      </c>
      <c r="D1337">
        <v>45.242220000000003</v>
      </c>
      <c r="E1337">
        <v>-112.11</v>
      </c>
      <c r="K1337">
        <v>0</v>
      </c>
      <c r="O1337" t="s">
        <v>51</v>
      </c>
      <c r="Q1337" t="s">
        <v>21</v>
      </c>
    </row>
    <row r="1338" spans="1:17" x14ac:dyDescent="0.25">
      <c r="A1338" t="s">
        <v>1140</v>
      </c>
      <c r="B1338" t="s">
        <v>1141</v>
      </c>
      <c r="C1338" t="s">
        <v>41</v>
      </c>
      <c r="D1338">
        <v>45.344999999999999</v>
      </c>
      <c r="E1338">
        <v>-112.15028</v>
      </c>
      <c r="F1338">
        <v>5250</v>
      </c>
      <c r="K1338">
        <v>0</v>
      </c>
      <c r="O1338" t="s">
        <v>151</v>
      </c>
      <c r="Q1338" t="s">
        <v>21</v>
      </c>
    </row>
    <row r="1339" spans="1:17" x14ac:dyDescent="0.25">
      <c r="A1339" t="s">
        <v>3183</v>
      </c>
      <c r="B1339" t="s">
        <v>3184</v>
      </c>
      <c r="C1339" t="s">
        <v>19</v>
      </c>
      <c r="D1339">
        <v>39.2151</v>
      </c>
      <c r="E1339">
        <v>-106.49</v>
      </c>
      <c r="F1339">
        <v>7766</v>
      </c>
      <c r="G1339" t="s">
        <v>1576</v>
      </c>
      <c r="K1339">
        <v>0</v>
      </c>
      <c r="O1339" t="s">
        <v>30</v>
      </c>
      <c r="Q1339" t="s">
        <v>2284</v>
      </c>
    </row>
    <row r="1340" spans="1:17" x14ac:dyDescent="0.25">
      <c r="A1340" t="s">
        <v>1180</v>
      </c>
      <c r="B1340" t="s">
        <v>1181</v>
      </c>
      <c r="C1340" t="s">
        <v>19</v>
      </c>
      <c r="D1340">
        <v>39.363889999999998</v>
      </c>
      <c r="E1340">
        <v>-106.81805</v>
      </c>
      <c r="K1340">
        <v>0</v>
      </c>
      <c r="O1340" t="s">
        <v>30</v>
      </c>
      <c r="P1340" t="s">
        <v>38</v>
      </c>
      <c r="Q1340" t="s">
        <v>21</v>
      </c>
    </row>
    <row r="1341" spans="1:17" x14ac:dyDescent="0.25">
      <c r="A1341" t="s">
        <v>1904</v>
      </c>
      <c r="B1341" t="s">
        <v>1905</v>
      </c>
      <c r="C1341" t="s">
        <v>410</v>
      </c>
      <c r="D1341">
        <v>42.595550000000003</v>
      </c>
      <c r="E1341">
        <v>-113.87388</v>
      </c>
      <c r="F1341">
        <v>1266.44</v>
      </c>
      <c r="G1341" t="s">
        <v>1576</v>
      </c>
      <c r="H1341" s="1">
        <v>32203</v>
      </c>
      <c r="J1341" t="s">
        <v>1577</v>
      </c>
      <c r="K1341">
        <v>0</v>
      </c>
      <c r="L1341" t="s">
        <v>1578</v>
      </c>
      <c r="O1341" t="s">
        <v>151</v>
      </c>
      <c r="P1341" t="s">
        <v>1585</v>
      </c>
      <c r="Q1341" t="s">
        <v>1580</v>
      </c>
    </row>
    <row r="1342" spans="1:17" x14ac:dyDescent="0.25">
      <c r="A1342" t="s">
        <v>695</v>
      </c>
      <c r="B1342" t="s">
        <v>696</v>
      </c>
      <c r="C1342" t="s">
        <v>41</v>
      </c>
      <c r="D1342">
        <v>48.356670000000001</v>
      </c>
      <c r="E1342">
        <v>-114.03667</v>
      </c>
      <c r="K1342">
        <v>0</v>
      </c>
      <c r="O1342" t="s">
        <v>30</v>
      </c>
      <c r="Q1342" t="s">
        <v>21</v>
      </c>
    </row>
    <row r="1343" spans="1:17" x14ac:dyDescent="0.25">
      <c r="A1343" t="s">
        <v>1326</v>
      </c>
      <c r="B1343" t="s">
        <v>1327</v>
      </c>
      <c r="C1343" t="s">
        <v>86</v>
      </c>
      <c r="D1343">
        <v>29.390560000000001</v>
      </c>
      <c r="E1343">
        <v>-99.47945</v>
      </c>
      <c r="K1343">
        <v>0</v>
      </c>
      <c r="O1343" t="s">
        <v>51</v>
      </c>
      <c r="Q1343" t="s">
        <v>21</v>
      </c>
    </row>
    <row r="1344" spans="1:17" x14ac:dyDescent="0.25">
      <c r="A1344" t="s">
        <v>1289</v>
      </c>
      <c r="B1344" t="s">
        <v>1290</v>
      </c>
      <c r="C1344" t="s">
        <v>86</v>
      </c>
      <c r="D1344">
        <v>29.490829999999999</v>
      </c>
      <c r="E1344">
        <v>-99.492490000000004</v>
      </c>
      <c r="K1344">
        <v>0</v>
      </c>
      <c r="O1344" t="s">
        <v>51</v>
      </c>
      <c r="Q1344" t="s">
        <v>21</v>
      </c>
    </row>
    <row r="1345" spans="1:17" x14ac:dyDescent="0.25">
      <c r="A1345" t="s">
        <v>1225</v>
      </c>
      <c r="B1345" t="s">
        <v>1226</v>
      </c>
      <c r="C1345" t="s">
        <v>41</v>
      </c>
      <c r="D1345">
        <v>45.7</v>
      </c>
      <c r="E1345">
        <v>-113.96666999999999</v>
      </c>
      <c r="F1345">
        <v>7900</v>
      </c>
      <c r="K1345">
        <v>0</v>
      </c>
      <c r="O1345" t="s">
        <v>57</v>
      </c>
      <c r="Q1345" t="s">
        <v>21</v>
      </c>
    </row>
    <row r="1346" spans="1:17" x14ac:dyDescent="0.25">
      <c r="A1346" t="s">
        <v>1211</v>
      </c>
      <c r="B1346" t="s">
        <v>1212</v>
      </c>
      <c r="C1346" t="s">
        <v>37</v>
      </c>
      <c r="D1346">
        <v>41.233330000000002</v>
      </c>
      <c r="E1346">
        <v>-107.25</v>
      </c>
      <c r="F1346">
        <v>7850</v>
      </c>
      <c r="K1346">
        <v>0</v>
      </c>
      <c r="O1346" t="s">
        <v>57</v>
      </c>
      <c r="Q1346" t="s">
        <v>21</v>
      </c>
    </row>
    <row r="1347" spans="1:17" x14ac:dyDescent="0.25">
      <c r="A1347" t="s">
        <v>3185</v>
      </c>
      <c r="B1347" t="s">
        <v>3186</v>
      </c>
      <c r="C1347" t="s">
        <v>19</v>
      </c>
      <c r="D1347">
        <v>38.700000000000003</v>
      </c>
      <c r="E1347">
        <v>-106.36669999999999</v>
      </c>
      <c r="F1347">
        <v>10540</v>
      </c>
      <c r="G1347" t="s">
        <v>1576</v>
      </c>
      <c r="K1347">
        <v>0</v>
      </c>
      <c r="O1347" t="s">
        <v>57</v>
      </c>
      <c r="Q1347" t="s">
        <v>2284</v>
      </c>
    </row>
    <row r="1348" spans="1:17" x14ac:dyDescent="0.25">
      <c r="A1348" t="s">
        <v>1927</v>
      </c>
      <c r="B1348" t="s">
        <v>1928</v>
      </c>
      <c r="C1348" t="s">
        <v>41</v>
      </c>
      <c r="D1348">
        <v>47.325270000000003</v>
      </c>
      <c r="E1348">
        <v>-114.08416</v>
      </c>
      <c r="F1348">
        <v>908.3</v>
      </c>
      <c r="G1348" t="s">
        <v>1576</v>
      </c>
      <c r="H1348" s="1">
        <v>33329</v>
      </c>
      <c r="J1348" t="s">
        <v>1577</v>
      </c>
      <c r="K1348">
        <v>0</v>
      </c>
      <c r="L1348" t="s">
        <v>1578</v>
      </c>
      <c r="O1348" t="s">
        <v>151</v>
      </c>
      <c r="P1348" t="s">
        <v>1585</v>
      </c>
      <c r="Q1348" t="s">
        <v>1580</v>
      </c>
    </row>
    <row r="1349" spans="1:17" x14ac:dyDescent="0.25">
      <c r="A1349" t="s">
        <v>3187</v>
      </c>
      <c r="B1349" t="s">
        <v>3188</v>
      </c>
      <c r="C1349" t="s">
        <v>19</v>
      </c>
      <c r="D1349">
        <v>37.139699999999998</v>
      </c>
      <c r="E1349">
        <v>-107.75279999999999</v>
      </c>
      <c r="F1349">
        <v>6470</v>
      </c>
      <c r="G1349" t="s">
        <v>1576</v>
      </c>
      <c r="K1349">
        <v>0</v>
      </c>
      <c r="O1349" t="s">
        <v>51</v>
      </c>
      <c r="Q1349" t="s">
        <v>2284</v>
      </c>
    </row>
    <row r="1350" spans="1:17" x14ac:dyDescent="0.25">
      <c r="A1350" t="s">
        <v>1914</v>
      </c>
      <c r="B1350" t="s">
        <v>1915</v>
      </c>
      <c r="C1350" t="s">
        <v>37</v>
      </c>
      <c r="D1350">
        <v>43.079635209999999</v>
      </c>
      <c r="E1350">
        <v>-111.0373464</v>
      </c>
      <c r="F1350">
        <v>5676</v>
      </c>
      <c r="G1350" t="s">
        <v>1576</v>
      </c>
      <c r="H1350" s="2">
        <v>0</v>
      </c>
      <c r="I1350">
        <v>13027500</v>
      </c>
      <c r="J1350" t="s">
        <v>1594</v>
      </c>
      <c r="K1350">
        <v>0</v>
      </c>
      <c r="L1350" t="s">
        <v>1595</v>
      </c>
      <c r="O1350" t="s">
        <v>51</v>
      </c>
      <c r="P1350" t="s">
        <v>1596</v>
      </c>
      <c r="Q1350" t="s">
        <v>1580</v>
      </c>
    </row>
    <row r="1351" spans="1:17" x14ac:dyDescent="0.25">
      <c r="A1351" t="s">
        <v>3189</v>
      </c>
      <c r="B1351" t="s">
        <v>3190</v>
      </c>
      <c r="C1351" t="s">
        <v>19</v>
      </c>
      <c r="D1351">
        <v>36.993099999999998</v>
      </c>
      <c r="E1351">
        <v>-106.0381</v>
      </c>
      <c r="F1351">
        <v>7970</v>
      </c>
      <c r="G1351" t="s">
        <v>1576</v>
      </c>
      <c r="K1351">
        <v>0</v>
      </c>
      <c r="O1351" t="s">
        <v>51</v>
      </c>
      <c r="Q1351" t="s">
        <v>2284</v>
      </c>
    </row>
    <row r="1352" spans="1:17" x14ac:dyDescent="0.25">
      <c r="A1352" t="s">
        <v>2237</v>
      </c>
      <c r="B1352" t="s">
        <v>2238</v>
      </c>
      <c r="C1352" t="s">
        <v>1643</v>
      </c>
      <c r="D1352">
        <v>34.700000000000003</v>
      </c>
      <c r="E1352">
        <v>-114.5</v>
      </c>
      <c r="G1352" t="s">
        <v>1589</v>
      </c>
      <c r="K1352">
        <v>0</v>
      </c>
      <c r="O1352" t="s">
        <v>20</v>
      </c>
      <c r="Q1352" t="s">
        <v>1988</v>
      </c>
    </row>
    <row r="1353" spans="1:17" x14ac:dyDescent="0.25">
      <c r="A1353" t="s">
        <v>3506</v>
      </c>
      <c r="B1353" t="s">
        <v>3507</v>
      </c>
      <c r="C1353" t="s">
        <v>1643</v>
      </c>
      <c r="D1353">
        <v>37.350493999999998</v>
      </c>
      <c r="E1353">
        <v>-120.97714999999999</v>
      </c>
      <c r="F1353">
        <v>90</v>
      </c>
      <c r="G1353" t="s">
        <v>1589</v>
      </c>
      <c r="K1353">
        <v>0</v>
      </c>
      <c r="O1353" t="s">
        <v>51</v>
      </c>
      <c r="Q1353" t="s">
        <v>3478</v>
      </c>
    </row>
    <row r="1354" spans="1:17" x14ac:dyDescent="0.25">
      <c r="A1354" t="s">
        <v>3213</v>
      </c>
      <c r="B1354" t="s">
        <v>3214</v>
      </c>
      <c r="C1354" t="s">
        <v>2283</v>
      </c>
      <c r="D1354">
        <v>36.730600000000003</v>
      </c>
      <c r="E1354">
        <v>-107.8139</v>
      </c>
      <c r="F1354">
        <v>5540</v>
      </c>
      <c r="G1354" t="s">
        <v>1576</v>
      </c>
      <c r="K1354">
        <v>0</v>
      </c>
      <c r="O1354" t="s">
        <v>51</v>
      </c>
      <c r="Q1354" t="s">
        <v>2284</v>
      </c>
    </row>
    <row r="1355" spans="1:17" x14ac:dyDescent="0.25">
      <c r="A1355" t="s">
        <v>3215</v>
      </c>
      <c r="B1355" t="s">
        <v>3216</v>
      </c>
      <c r="C1355" t="s">
        <v>2283</v>
      </c>
      <c r="D1355">
        <v>36.740299999999998</v>
      </c>
      <c r="E1355">
        <v>-108.4025</v>
      </c>
      <c r="F1355">
        <v>0</v>
      </c>
      <c r="G1355" t="s">
        <v>1576</v>
      </c>
      <c r="K1355">
        <v>0</v>
      </c>
      <c r="O1355" t="s">
        <v>51</v>
      </c>
      <c r="Q1355" t="s">
        <v>2284</v>
      </c>
    </row>
    <row r="1356" spans="1:17" x14ac:dyDescent="0.25">
      <c r="A1356" t="s">
        <v>3195</v>
      </c>
      <c r="B1356" t="s">
        <v>3196</v>
      </c>
      <c r="C1356" t="s">
        <v>2283</v>
      </c>
      <c r="D1356">
        <v>36.700000000000003</v>
      </c>
      <c r="E1356">
        <v>-107.98609999999999</v>
      </c>
      <c r="F1356">
        <v>5405</v>
      </c>
      <c r="G1356" t="s">
        <v>1576</v>
      </c>
      <c r="K1356">
        <v>0</v>
      </c>
      <c r="O1356" t="s">
        <v>51</v>
      </c>
      <c r="Q1356" t="s">
        <v>2284</v>
      </c>
    </row>
    <row r="1357" spans="1:17" x14ac:dyDescent="0.25">
      <c r="A1357" t="s">
        <v>3197</v>
      </c>
      <c r="B1357" t="s">
        <v>3198</v>
      </c>
      <c r="C1357" t="s">
        <v>2283</v>
      </c>
      <c r="D1357">
        <v>36.722799999999999</v>
      </c>
      <c r="E1357">
        <v>-108.22499999999999</v>
      </c>
      <c r="F1357">
        <v>5230.37</v>
      </c>
      <c r="G1357" t="s">
        <v>1576</v>
      </c>
      <c r="K1357">
        <v>0</v>
      </c>
      <c r="O1357" t="s">
        <v>51</v>
      </c>
      <c r="Q1357" t="s">
        <v>2284</v>
      </c>
    </row>
    <row r="1358" spans="1:17" x14ac:dyDescent="0.25">
      <c r="A1358" t="s">
        <v>3199</v>
      </c>
      <c r="B1358" t="s">
        <v>3200</v>
      </c>
      <c r="C1358" t="s">
        <v>19</v>
      </c>
      <c r="D1358">
        <v>37.005600000000001</v>
      </c>
      <c r="E1358">
        <v>-109.0333</v>
      </c>
      <c r="F1358">
        <v>4900</v>
      </c>
      <c r="G1358" t="s">
        <v>1576</v>
      </c>
      <c r="K1358">
        <v>0</v>
      </c>
      <c r="O1358" t="s">
        <v>51</v>
      </c>
      <c r="Q1358" t="s">
        <v>2284</v>
      </c>
    </row>
    <row r="1359" spans="1:17" x14ac:dyDescent="0.25">
      <c r="A1359" t="s">
        <v>3201</v>
      </c>
      <c r="B1359" t="s">
        <v>3202</v>
      </c>
      <c r="C1359" t="s">
        <v>2283</v>
      </c>
      <c r="D1359">
        <v>36.689399999999999</v>
      </c>
      <c r="E1359">
        <v>-108.095</v>
      </c>
      <c r="F1359">
        <v>0</v>
      </c>
      <c r="G1359" t="s">
        <v>1576</v>
      </c>
      <c r="K1359">
        <v>0</v>
      </c>
      <c r="O1359" t="s">
        <v>51</v>
      </c>
      <c r="Q1359" t="s">
        <v>2284</v>
      </c>
    </row>
    <row r="1360" spans="1:17" x14ac:dyDescent="0.25">
      <c r="A1360" t="s">
        <v>3203</v>
      </c>
      <c r="B1360" t="s">
        <v>3204</v>
      </c>
      <c r="C1360" t="s">
        <v>19</v>
      </c>
      <c r="D1360">
        <v>37.266100000000002</v>
      </c>
      <c r="E1360">
        <v>-107.0103</v>
      </c>
      <c r="F1360">
        <v>7052.04</v>
      </c>
      <c r="G1360" t="s">
        <v>1576</v>
      </c>
      <c r="K1360">
        <v>0</v>
      </c>
      <c r="O1360" t="s">
        <v>51</v>
      </c>
      <c r="Q1360" t="s">
        <v>2284</v>
      </c>
    </row>
    <row r="1361" spans="1:17" x14ac:dyDescent="0.25">
      <c r="A1361" t="s">
        <v>3205</v>
      </c>
      <c r="B1361" t="s">
        <v>3206</v>
      </c>
      <c r="C1361" t="s">
        <v>2283</v>
      </c>
      <c r="D1361">
        <v>36.792200000000001</v>
      </c>
      <c r="E1361">
        <v>-108.7317</v>
      </c>
      <c r="F1361">
        <v>4848.68</v>
      </c>
      <c r="G1361" t="s">
        <v>1576</v>
      </c>
      <c r="K1361">
        <v>0</v>
      </c>
      <c r="O1361" t="s">
        <v>51</v>
      </c>
      <c r="Q1361" t="s">
        <v>2284</v>
      </c>
    </row>
    <row r="1362" spans="1:17" x14ac:dyDescent="0.25">
      <c r="A1362" t="s">
        <v>3207</v>
      </c>
      <c r="B1362" t="s">
        <v>3208</v>
      </c>
      <c r="C1362" t="s">
        <v>2283</v>
      </c>
      <c r="D1362">
        <v>36.801400000000001</v>
      </c>
      <c r="E1362">
        <v>-107.69750000000001</v>
      </c>
      <c r="G1362" t="s">
        <v>1576</v>
      </c>
      <c r="K1362">
        <v>0</v>
      </c>
      <c r="O1362" t="s">
        <v>51</v>
      </c>
      <c r="Q1362" t="s">
        <v>2284</v>
      </c>
    </row>
    <row r="1363" spans="1:17" x14ac:dyDescent="0.25">
      <c r="A1363" t="s">
        <v>3209</v>
      </c>
      <c r="B1363" t="s">
        <v>3210</v>
      </c>
      <c r="C1363" t="s">
        <v>1622</v>
      </c>
      <c r="D1363">
        <v>37.146900000000002</v>
      </c>
      <c r="E1363">
        <v>-109.8642</v>
      </c>
      <c r="G1363" t="s">
        <v>1576</v>
      </c>
      <c r="K1363">
        <v>0</v>
      </c>
      <c r="O1363" t="s">
        <v>51</v>
      </c>
      <c r="Q1363" t="s">
        <v>2284</v>
      </c>
    </row>
    <row r="1364" spans="1:17" x14ac:dyDescent="0.25">
      <c r="A1364" t="s">
        <v>3211</v>
      </c>
      <c r="B1364" t="s">
        <v>3212</v>
      </c>
      <c r="C1364" t="s">
        <v>19</v>
      </c>
      <c r="D1364">
        <v>37.013599999999997</v>
      </c>
      <c r="E1364">
        <v>-107.3117</v>
      </c>
      <c r="F1364">
        <v>6090</v>
      </c>
      <c r="G1364" t="s">
        <v>1576</v>
      </c>
      <c r="K1364">
        <v>0</v>
      </c>
      <c r="O1364" t="s">
        <v>51</v>
      </c>
      <c r="Q1364" t="s">
        <v>2284</v>
      </c>
    </row>
    <row r="1365" spans="1:17" x14ac:dyDescent="0.25">
      <c r="A1365" t="s">
        <v>3516</v>
      </c>
      <c r="B1365" t="s">
        <v>3517</v>
      </c>
      <c r="C1365" t="s">
        <v>1643</v>
      </c>
      <c r="D1365">
        <v>37.033000000000001</v>
      </c>
      <c r="E1365">
        <v>-121.133</v>
      </c>
      <c r="F1365">
        <v>543</v>
      </c>
      <c r="G1365" t="s">
        <v>1589</v>
      </c>
      <c r="K1365">
        <v>0</v>
      </c>
      <c r="O1365" t="s">
        <v>30</v>
      </c>
      <c r="Q1365" t="s">
        <v>3478</v>
      </c>
    </row>
    <row r="1366" spans="1:17" x14ac:dyDescent="0.25">
      <c r="A1366" t="s">
        <v>1285</v>
      </c>
      <c r="B1366" t="s">
        <v>1286</v>
      </c>
      <c r="C1366" t="s">
        <v>86</v>
      </c>
      <c r="D1366">
        <v>28.587219999999999</v>
      </c>
      <c r="E1366">
        <v>-98.545559999999995</v>
      </c>
      <c r="K1366">
        <v>0</v>
      </c>
      <c r="O1366" t="s">
        <v>51</v>
      </c>
      <c r="Q1366" t="s">
        <v>21</v>
      </c>
    </row>
    <row r="1367" spans="1:17" x14ac:dyDescent="0.25">
      <c r="A1367" t="s">
        <v>3217</v>
      </c>
      <c r="B1367" t="s">
        <v>3218</v>
      </c>
      <c r="C1367" t="s">
        <v>19</v>
      </c>
      <c r="D1367">
        <v>38.217799999999997</v>
      </c>
      <c r="E1367">
        <v>-108.5658</v>
      </c>
      <c r="F1367">
        <v>5392.85</v>
      </c>
      <c r="G1367" t="s">
        <v>1576</v>
      </c>
      <c r="K1367">
        <v>0</v>
      </c>
      <c r="O1367" t="s">
        <v>51</v>
      </c>
      <c r="Q1367" t="s">
        <v>2284</v>
      </c>
    </row>
    <row r="1368" spans="1:17" x14ac:dyDescent="0.25">
      <c r="A1368" t="s">
        <v>3219</v>
      </c>
      <c r="B1368" t="s">
        <v>3220</v>
      </c>
      <c r="C1368" t="s">
        <v>19</v>
      </c>
      <c r="D1368">
        <v>38.357199999999999</v>
      </c>
      <c r="E1368">
        <v>-108.7122</v>
      </c>
      <c r="F1368">
        <v>5000</v>
      </c>
      <c r="G1368" t="s">
        <v>1576</v>
      </c>
      <c r="K1368">
        <v>0</v>
      </c>
      <c r="O1368" t="s">
        <v>51</v>
      </c>
      <c r="Q1368" t="s">
        <v>2284</v>
      </c>
    </row>
    <row r="1369" spans="1:17" x14ac:dyDescent="0.25">
      <c r="A1369" t="s">
        <v>3221</v>
      </c>
      <c r="B1369" t="s">
        <v>3222</v>
      </c>
      <c r="C1369" t="s">
        <v>19</v>
      </c>
      <c r="D1369">
        <v>37.948099999999997</v>
      </c>
      <c r="E1369">
        <v>-107.8764</v>
      </c>
      <c r="F1369">
        <v>8622.31</v>
      </c>
      <c r="G1369" t="s">
        <v>1576</v>
      </c>
      <c r="K1369">
        <v>0</v>
      </c>
      <c r="O1369" t="s">
        <v>51</v>
      </c>
      <c r="Q1369" t="s">
        <v>2284</v>
      </c>
    </row>
    <row r="1370" spans="1:17" x14ac:dyDescent="0.25">
      <c r="A1370" t="s">
        <v>1949</v>
      </c>
      <c r="B1370" t="s">
        <v>1950</v>
      </c>
      <c r="C1370" t="s">
        <v>1622</v>
      </c>
      <c r="D1370">
        <v>39.485745000000001</v>
      </c>
      <c r="E1370">
        <v>-111.53721400000001</v>
      </c>
      <c r="F1370">
        <v>1711</v>
      </c>
      <c r="G1370" t="s">
        <v>1576</v>
      </c>
      <c r="H1370" s="1">
        <v>42079</v>
      </c>
      <c r="J1370" t="s">
        <v>1577</v>
      </c>
      <c r="K1370">
        <v>0</v>
      </c>
      <c r="L1370" t="s">
        <v>1578</v>
      </c>
      <c r="O1370" t="s">
        <v>151</v>
      </c>
      <c r="P1370" t="s">
        <v>1585</v>
      </c>
      <c r="Q1370" t="s">
        <v>1580</v>
      </c>
    </row>
    <row r="1371" spans="1:17" x14ac:dyDescent="0.25">
      <c r="A1371" t="s">
        <v>3223</v>
      </c>
      <c r="B1371" t="s">
        <v>3224</v>
      </c>
      <c r="C1371" t="s">
        <v>1622</v>
      </c>
      <c r="D1371">
        <v>38.8583</v>
      </c>
      <c r="E1371">
        <v>-110.3694</v>
      </c>
      <c r="F1371">
        <v>4190</v>
      </c>
      <c r="G1371" t="s">
        <v>1576</v>
      </c>
      <c r="K1371">
        <v>0</v>
      </c>
      <c r="O1371" t="s">
        <v>51</v>
      </c>
      <c r="Q1371" t="s">
        <v>2284</v>
      </c>
    </row>
    <row r="1372" spans="1:17" x14ac:dyDescent="0.25">
      <c r="A1372" t="s">
        <v>3191</v>
      </c>
      <c r="B1372" t="s">
        <v>3192</v>
      </c>
      <c r="C1372" t="s">
        <v>2283</v>
      </c>
      <c r="D1372">
        <v>34.474200000000003</v>
      </c>
      <c r="E1372">
        <v>-104.2586</v>
      </c>
      <c r="G1372" t="s">
        <v>1576</v>
      </c>
      <c r="K1372">
        <v>0</v>
      </c>
      <c r="O1372" t="s">
        <v>20</v>
      </c>
      <c r="Q1372" t="s">
        <v>2284</v>
      </c>
    </row>
    <row r="1373" spans="1:17" x14ac:dyDescent="0.25">
      <c r="A1373" t="s">
        <v>1287</v>
      </c>
      <c r="B1373" t="s">
        <v>1288</v>
      </c>
      <c r="C1373" t="s">
        <v>37</v>
      </c>
      <c r="D1373">
        <v>41.466670000000001</v>
      </c>
      <c r="E1373">
        <v>-106.28333000000001</v>
      </c>
      <c r="F1373">
        <v>10050</v>
      </c>
      <c r="K1373">
        <v>0</v>
      </c>
      <c r="O1373" t="s">
        <v>57</v>
      </c>
      <c r="Q1373" t="s">
        <v>21</v>
      </c>
    </row>
    <row r="1374" spans="1:17" x14ac:dyDescent="0.25">
      <c r="A1374" t="s">
        <v>3193</v>
      </c>
      <c r="B1374" t="s">
        <v>3194</v>
      </c>
      <c r="C1374" t="s">
        <v>37</v>
      </c>
      <c r="D1374">
        <v>41.116700000000002</v>
      </c>
      <c r="E1374">
        <v>-107.16670000000001</v>
      </c>
      <c r="F1374">
        <v>8150</v>
      </c>
      <c r="G1374" t="s">
        <v>1576</v>
      </c>
      <c r="K1374">
        <v>0</v>
      </c>
      <c r="O1374" t="s">
        <v>57</v>
      </c>
      <c r="Q1374" t="s">
        <v>2284</v>
      </c>
    </row>
    <row r="1375" spans="1:17" x14ac:dyDescent="0.25">
      <c r="A1375" t="s">
        <v>1192</v>
      </c>
      <c r="B1375" t="s">
        <v>1193</v>
      </c>
      <c r="C1375" t="s">
        <v>86</v>
      </c>
      <c r="D1375">
        <v>35.710560000000001</v>
      </c>
      <c r="E1375">
        <v>-101.55083</v>
      </c>
      <c r="K1375">
        <v>0</v>
      </c>
      <c r="O1375" t="s">
        <v>30</v>
      </c>
      <c r="P1375" t="s">
        <v>48</v>
      </c>
      <c r="Q1375" t="s">
        <v>21</v>
      </c>
    </row>
    <row r="1376" spans="1:17" x14ac:dyDescent="0.25">
      <c r="A1376" t="s">
        <v>3225</v>
      </c>
      <c r="B1376" t="s">
        <v>3226</v>
      </c>
      <c r="C1376" t="s">
        <v>2283</v>
      </c>
      <c r="D1376">
        <v>35.770000000000003</v>
      </c>
      <c r="E1376">
        <v>-105.7833</v>
      </c>
      <c r="F1376">
        <v>11445</v>
      </c>
      <c r="G1376" t="s">
        <v>1576</v>
      </c>
      <c r="K1376">
        <v>0</v>
      </c>
      <c r="O1376" t="s">
        <v>57</v>
      </c>
      <c r="Q1376" t="s">
        <v>2284</v>
      </c>
    </row>
    <row r="1377" spans="1:17" x14ac:dyDescent="0.25">
      <c r="A1377" t="s">
        <v>3227</v>
      </c>
      <c r="B1377" t="s">
        <v>3228</v>
      </c>
      <c r="C1377" t="s">
        <v>2283</v>
      </c>
      <c r="D1377">
        <v>35.029699999999998</v>
      </c>
      <c r="E1377">
        <v>-104.6917</v>
      </c>
      <c r="G1377" t="s">
        <v>1576</v>
      </c>
      <c r="K1377">
        <v>0</v>
      </c>
      <c r="O1377" t="s">
        <v>30</v>
      </c>
      <c r="Q1377" t="s">
        <v>2284</v>
      </c>
    </row>
    <row r="1378" spans="1:17" x14ac:dyDescent="0.25">
      <c r="A1378" t="s">
        <v>3229</v>
      </c>
      <c r="B1378" t="s">
        <v>3230</v>
      </c>
      <c r="C1378" t="s">
        <v>2283</v>
      </c>
      <c r="D1378">
        <v>36.8842</v>
      </c>
      <c r="E1378">
        <v>-105.28189999999999</v>
      </c>
      <c r="G1378" t="s">
        <v>1576</v>
      </c>
      <c r="K1378">
        <v>0</v>
      </c>
      <c r="O1378" t="s">
        <v>51</v>
      </c>
      <c r="Q1378" t="s">
        <v>2284</v>
      </c>
    </row>
    <row r="1379" spans="1:17" x14ac:dyDescent="0.25">
      <c r="A1379" t="s">
        <v>3231</v>
      </c>
      <c r="B1379" t="s">
        <v>3232</v>
      </c>
      <c r="C1379" t="s">
        <v>19</v>
      </c>
      <c r="D1379">
        <v>38.283299999999997</v>
      </c>
      <c r="E1379">
        <v>-106.36669999999999</v>
      </c>
      <c r="F1379">
        <v>11530</v>
      </c>
      <c r="G1379" t="s">
        <v>1576</v>
      </c>
      <c r="K1379">
        <v>0</v>
      </c>
      <c r="O1379" t="s">
        <v>57</v>
      </c>
      <c r="Q1379" t="s">
        <v>2284</v>
      </c>
    </row>
    <row r="1380" spans="1:17" x14ac:dyDescent="0.25">
      <c r="A1380" t="s">
        <v>3233</v>
      </c>
      <c r="B1380" t="s">
        <v>3234</v>
      </c>
      <c r="C1380" t="s">
        <v>19</v>
      </c>
      <c r="D1380">
        <v>39.0167</v>
      </c>
      <c r="E1380">
        <v>-107.05</v>
      </c>
      <c r="F1380">
        <v>10700</v>
      </c>
      <c r="G1380" t="s">
        <v>1576</v>
      </c>
      <c r="K1380">
        <v>0</v>
      </c>
      <c r="O1380" t="s">
        <v>57</v>
      </c>
      <c r="Q1380" t="s">
        <v>2284</v>
      </c>
    </row>
    <row r="1381" spans="1:17" x14ac:dyDescent="0.25">
      <c r="A1381" t="s">
        <v>1918</v>
      </c>
      <c r="B1381" t="s">
        <v>1919</v>
      </c>
      <c r="C1381" t="s">
        <v>1622</v>
      </c>
      <c r="D1381">
        <v>39.220089999999999</v>
      </c>
      <c r="E1381">
        <v>-112.09847600000001</v>
      </c>
      <c r="F1381">
        <v>1627</v>
      </c>
      <c r="G1381" t="s">
        <v>1576</v>
      </c>
      <c r="H1381" s="1">
        <v>42076</v>
      </c>
      <c r="J1381" t="s">
        <v>1577</v>
      </c>
      <c r="K1381">
        <v>0</v>
      </c>
      <c r="L1381" t="s">
        <v>1578</v>
      </c>
      <c r="O1381" t="s">
        <v>151</v>
      </c>
      <c r="P1381" t="s">
        <v>1585</v>
      </c>
      <c r="Q1381" t="s">
        <v>1580</v>
      </c>
    </row>
    <row r="1382" spans="1:17" x14ac:dyDescent="0.25">
      <c r="A1382" t="s">
        <v>3235</v>
      </c>
      <c r="B1382" t="s">
        <v>3236</v>
      </c>
      <c r="C1382" t="s">
        <v>1622</v>
      </c>
      <c r="D1382">
        <v>39.471499999999999</v>
      </c>
      <c r="E1382">
        <v>-111.07299999999999</v>
      </c>
      <c r="F1382">
        <v>7617.5</v>
      </c>
      <c r="G1382" t="s">
        <v>1576</v>
      </c>
      <c r="K1382">
        <v>0</v>
      </c>
      <c r="O1382" t="s">
        <v>30</v>
      </c>
      <c r="Q1382" t="s">
        <v>2284</v>
      </c>
    </row>
    <row r="1383" spans="1:17" x14ac:dyDescent="0.25">
      <c r="A1383" t="s">
        <v>3237</v>
      </c>
      <c r="B1383" t="s">
        <v>3238</v>
      </c>
      <c r="C1383" t="s">
        <v>19</v>
      </c>
      <c r="D1383">
        <v>37.65</v>
      </c>
      <c r="E1383">
        <v>-108.0167</v>
      </c>
      <c r="F1383">
        <v>9100</v>
      </c>
      <c r="G1383" t="s">
        <v>1576</v>
      </c>
      <c r="K1383">
        <v>0</v>
      </c>
      <c r="O1383" t="s">
        <v>57</v>
      </c>
      <c r="Q1383" t="s">
        <v>2284</v>
      </c>
    </row>
    <row r="1384" spans="1:17" x14ac:dyDescent="0.25">
      <c r="A1384" t="s">
        <v>1233</v>
      </c>
      <c r="B1384" t="s">
        <v>1234</v>
      </c>
      <c r="C1384" t="s">
        <v>86</v>
      </c>
      <c r="D1384">
        <v>29.573060000000002</v>
      </c>
      <c r="E1384">
        <v>-99.402780000000007</v>
      </c>
      <c r="K1384">
        <v>0</v>
      </c>
      <c r="O1384" t="s">
        <v>51</v>
      </c>
      <c r="Q1384" t="s">
        <v>21</v>
      </c>
    </row>
    <row r="1385" spans="1:17" x14ac:dyDescent="0.25">
      <c r="A1385" t="s">
        <v>1229</v>
      </c>
      <c r="B1385" t="s">
        <v>1230</v>
      </c>
      <c r="C1385" t="s">
        <v>86</v>
      </c>
      <c r="D1385">
        <v>29.370560000000001</v>
      </c>
      <c r="E1385">
        <v>-99.287499999999994</v>
      </c>
      <c r="K1385">
        <v>0</v>
      </c>
      <c r="O1385" t="s">
        <v>51</v>
      </c>
      <c r="Q1385" t="s">
        <v>21</v>
      </c>
    </row>
    <row r="1386" spans="1:17" x14ac:dyDescent="0.25">
      <c r="A1386" t="s">
        <v>3239</v>
      </c>
      <c r="B1386" t="s">
        <v>3240</v>
      </c>
      <c r="C1386" t="s">
        <v>1622</v>
      </c>
      <c r="D1386">
        <v>39.316699999999997</v>
      </c>
      <c r="E1386">
        <v>-111.4333</v>
      </c>
      <c r="F1386">
        <v>10000</v>
      </c>
      <c r="G1386" t="s">
        <v>1576</v>
      </c>
      <c r="K1386">
        <v>0</v>
      </c>
      <c r="O1386" t="s">
        <v>57</v>
      </c>
      <c r="Q1386" t="s">
        <v>2284</v>
      </c>
    </row>
    <row r="1387" spans="1:17" x14ac:dyDescent="0.25">
      <c r="A1387" t="s">
        <v>1231</v>
      </c>
      <c r="B1387" t="s">
        <v>1232</v>
      </c>
      <c r="C1387" t="s">
        <v>37</v>
      </c>
      <c r="D1387">
        <v>42.155830000000002</v>
      </c>
      <c r="E1387">
        <v>-106.90806000000001</v>
      </c>
      <c r="K1387">
        <v>0</v>
      </c>
      <c r="O1387" t="s">
        <v>30</v>
      </c>
      <c r="P1387" t="s">
        <v>54</v>
      </c>
      <c r="Q1387" t="s">
        <v>21</v>
      </c>
    </row>
    <row r="1388" spans="1:17" x14ac:dyDescent="0.25">
      <c r="A1388" t="s">
        <v>2239</v>
      </c>
      <c r="B1388" t="s">
        <v>2240</v>
      </c>
      <c r="C1388" t="s">
        <v>1987</v>
      </c>
      <c r="D1388">
        <v>32.9039</v>
      </c>
      <c r="E1388">
        <v>-114.4769</v>
      </c>
      <c r="F1388">
        <v>245</v>
      </c>
      <c r="G1388" t="s">
        <v>1576</v>
      </c>
      <c r="K1388">
        <v>0</v>
      </c>
      <c r="O1388" t="s">
        <v>30</v>
      </c>
      <c r="Q1388" t="s">
        <v>1988</v>
      </c>
    </row>
    <row r="1389" spans="1:17" x14ac:dyDescent="0.25">
      <c r="A1389" t="s">
        <v>3470</v>
      </c>
      <c r="B1389" t="s">
        <v>3471</v>
      </c>
      <c r="C1389" t="s">
        <v>1987</v>
      </c>
      <c r="D1389">
        <v>32.9039</v>
      </c>
      <c r="E1389">
        <v>-114.4769</v>
      </c>
      <c r="F1389">
        <v>245</v>
      </c>
      <c r="G1389" t="s">
        <v>1576</v>
      </c>
      <c r="K1389">
        <v>0</v>
      </c>
      <c r="O1389" t="s">
        <v>30</v>
      </c>
      <c r="Q1389" t="s">
        <v>3441</v>
      </c>
    </row>
    <row r="1390" spans="1:17" x14ac:dyDescent="0.25">
      <c r="A1390" t="s">
        <v>3241</v>
      </c>
      <c r="B1390" t="s">
        <v>3242</v>
      </c>
      <c r="C1390" t="s">
        <v>2283</v>
      </c>
      <c r="D1390">
        <v>36</v>
      </c>
      <c r="E1390">
        <v>-106.83329999999999</v>
      </c>
      <c r="F1390">
        <v>8600</v>
      </c>
      <c r="G1390" t="s">
        <v>1576</v>
      </c>
      <c r="K1390">
        <v>0</v>
      </c>
      <c r="O1390" t="s">
        <v>57</v>
      </c>
      <c r="Q1390" t="s">
        <v>2284</v>
      </c>
    </row>
    <row r="1391" spans="1:17" x14ac:dyDescent="0.25">
      <c r="A1391" t="s">
        <v>1916</v>
      </c>
      <c r="B1391" t="s">
        <v>1917</v>
      </c>
      <c r="C1391" t="s">
        <v>1628</v>
      </c>
      <c r="D1391">
        <v>47.855269999999997</v>
      </c>
      <c r="E1391">
        <v>-118.34111</v>
      </c>
      <c r="F1391">
        <v>417.58</v>
      </c>
      <c r="G1391" t="s">
        <v>1589</v>
      </c>
      <c r="H1391" s="1">
        <v>37362</v>
      </c>
      <c r="J1391" t="s">
        <v>1577</v>
      </c>
      <c r="K1391">
        <v>0</v>
      </c>
      <c r="L1391" t="s">
        <v>1578</v>
      </c>
      <c r="O1391" t="s">
        <v>151</v>
      </c>
      <c r="P1391" t="s">
        <v>1585</v>
      </c>
      <c r="Q1391" t="s">
        <v>1580</v>
      </c>
    </row>
    <row r="1392" spans="1:17" x14ac:dyDescent="0.25">
      <c r="A1392" t="s">
        <v>1269</v>
      </c>
      <c r="B1392" t="s">
        <v>1270</v>
      </c>
      <c r="C1392" t="s">
        <v>29</v>
      </c>
      <c r="D1392">
        <v>45.753329999999998</v>
      </c>
      <c r="E1392">
        <v>-102.20332999999999</v>
      </c>
      <c r="K1392">
        <v>0</v>
      </c>
      <c r="O1392" t="s">
        <v>30</v>
      </c>
      <c r="P1392" t="s">
        <v>31</v>
      </c>
      <c r="Q1392" t="s">
        <v>21</v>
      </c>
    </row>
    <row r="1393" spans="1:17" x14ac:dyDescent="0.25">
      <c r="A1393" t="s">
        <v>3243</v>
      </c>
      <c r="B1393" t="s">
        <v>3244</v>
      </c>
      <c r="C1393" t="s">
        <v>19</v>
      </c>
      <c r="D1393">
        <v>40.122599999999998</v>
      </c>
      <c r="E1393">
        <v>-105.5027</v>
      </c>
      <c r="F1393">
        <v>8367</v>
      </c>
      <c r="G1393" t="s">
        <v>1576</v>
      </c>
      <c r="K1393">
        <v>0</v>
      </c>
      <c r="O1393" t="s">
        <v>30</v>
      </c>
      <c r="Q1393" t="s">
        <v>2284</v>
      </c>
    </row>
    <row r="1394" spans="1:17" x14ac:dyDescent="0.25">
      <c r="A1394" t="s">
        <v>1263</v>
      </c>
      <c r="B1394" t="s">
        <v>1264</v>
      </c>
      <c r="C1394" t="s">
        <v>19</v>
      </c>
      <c r="D1394">
        <v>40.206940000000003</v>
      </c>
      <c r="E1394">
        <v>-105.84028000000001</v>
      </c>
      <c r="K1394">
        <v>0</v>
      </c>
      <c r="O1394" t="s">
        <v>30</v>
      </c>
      <c r="Q1394" t="s">
        <v>21</v>
      </c>
    </row>
    <row r="1395" spans="1:17" x14ac:dyDescent="0.25">
      <c r="A1395" t="s">
        <v>1259</v>
      </c>
      <c r="B1395" t="s">
        <v>1260</v>
      </c>
      <c r="C1395" t="s">
        <v>19</v>
      </c>
      <c r="D1395">
        <v>40.20722</v>
      </c>
      <c r="E1395">
        <v>-105.84166999999999</v>
      </c>
      <c r="K1395">
        <v>0</v>
      </c>
      <c r="O1395" t="s">
        <v>30</v>
      </c>
      <c r="P1395" t="s">
        <v>38</v>
      </c>
      <c r="Q1395" t="s">
        <v>21</v>
      </c>
    </row>
    <row r="1396" spans="1:17" x14ac:dyDescent="0.25">
      <c r="A1396" t="s">
        <v>3514</v>
      </c>
      <c r="B1396" t="s">
        <v>3515</v>
      </c>
      <c r="C1396" t="s">
        <v>1643</v>
      </c>
      <c r="D1396">
        <v>40.718000000000004</v>
      </c>
      <c r="E1396">
        <v>-122.42</v>
      </c>
      <c r="F1396">
        <v>1067</v>
      </c>
      <c r="G1396" t="s">
        <v>1589</v>
      </c>
      <c r="K1396">
        <v>0</v>
      </c>
      <c r="O1396" t="s">
        <v>51</v>
      </c>
      <c r="Q1396" t="s">
        <v>3478</v>
      </c>
    </row>
    <row r="1397" spans="1:17" x14ac:dyDescent="0.25">
      <c r="A1397" t="s">
        <v>3512</v>
      </c>
      <c r="B1397" t="s">
        <v>3513</v>
      </c>
      <c r="C1397" t="s">
        <v>1643</v>
      </c>
      <c r="D1397">
        <v>40.718000000000004</v>
      </c>
      <c r="E1397">
        <v>-122.42</v>
      </c>
      <c r="F1397">
        <v>1067</v>
      </c>
      <c r="G1397" t="s">
        <v>1589</v>
      </c>
      <c r="K1397">
        <v>0</v>
      </c>
      <c r="O1397" t="s">
        <v>30</v>
      </c>
      <c r="Q1397" t="s">
        <v>3478</v>
      </c>
    </row>
    <row r="1398" spans="1:17" x14ac:dyDescent="0.25">
      <c r="A1398" t="s">
        <v>1215</v>
      </c>
      <c r="B1398" t="s">
        <v>1216</v>
      </c>
      <c r="C1398" t="s">
        <v>26</v>
      </c>
      <c r="D1398">
        <v>41.969439999999999</v>
      </c>
      <c r="E1398">
        <v>-103.96138999999999</v>
      </c>
      <c r="K1398">
        <v>0</v>
      </c>
      <c r="O1398" t="s">
        <v>20</v>
      </c>
      <c r="Q1398" t="s">
        <v>21</v>
      </c>
    </row>
    <row r="1399" spans="1:17" x14ac:dyDescent="0.25">
      <c r="A1399" t="s">
        <v>1221</v>
      </c>
      <c r="B1399" t="s">
        <v>1222</v>
      </c>
      <c r="C1399" t="s">
        <v>37</v>
      </c>
      <c r="D1399">
        <v>44.564450000000001</v>
      </c>
      <c r="E1399">
        <v>-107.71278</v>
      </c>
      <c r="K1399">
        <v>0</v>
      </c>
      <c r="O1399" t="s">
        <v>51</v>
      </c>
      <c r="Q1399" t="s">
        <v>21</v>
      </c>
    </row>
    <row r="1400" spans="1:17" x14ac:dyDescent="0.25">
      <c r="A1400" t="s">
        <v>1217</v>
      </c>
      <c r="B1400" t="s">
        <v>1218</v>
      </c>
      <c r="C1400" t="s">
        <v>37</v>
      </c>
      <c r="D1400">
        <v>44.5</v>
      </c>
      <c r="E1400">
        <v>-107.43333</v>
      </c>
      <c r="F1400">
        <v>9580</v>
      </c>
      <c r="K1400">
        <v>0</v>
      </c>
      <c r="O1400" t="s">
        <v>57</v>
      </c>
      <c r="Q1400" t="s">
        <v>21</v>
      </c>
    </row>
    <row r="1401" spans="1:17" x14ac:dyDescent="0.25">
      <c r="A1401" t="s">
        <v>1920</v>
      </c>
      <c r="B1401" t="s">
        <v>1921</v>
      </c>
      <c r="C1401" t="s">
        <v>410</v>
      </c>
      <c r="D1401">
        <v>43.434519999999999</v>
      </c>
      <c r="E1401">
        <v>-112.14273</v>
      </c>
      <c r="F1401">
        <v>1417</v>
      </c>
      <c r="G1401" t="s">
        <v>1576</v>
      </c>
      <c r="H1401" s="1">
        <v>41711</v>
      </c>
      <c r="J1401" t="s">
        <v>1577</v>
      </c>
      <c r="K1401">
        <v>0</v>
      </c>
      <c r="L1401" t="s">
        <v>1578</v>
      </c>
      <c r="O1401" t="s">
        <v>151</v>
      </c>
      <c r="P1401" t="s">
        <v>1585</v>
      </c>
      <c r="Q1401" t="s">
        <v>1580</v>
      </c>
    </row>
    <row r="1402" spans="1:17" x14ac:dyDescent="0.25">
      <c r="A1402" t="s">
        <v>1320</v>
      </c>
      <c r="B1402" t="s">
        <v>1321</v>
      </c>
      <c r="C1402" t="s">
        <v>41</v>
      </c>
      <c r="D1402">
        <v>45.738329999999998</v>
      </c>
      <c r="E1402">
        <v>-110.47915999999999</v>
      </c>
      <c r="K1402">
        <v>0</v>
      </c>
      <c r="O1402" t="s">
        <v>51</v>
      </c>
      <c r="Q1402" t="s">
        <v>21</v>
      </c>
    </row>
    <row r="1403" spans="1:17" x14ac:dyDescent="0.25">
      <c r="A1403" t="s">
        <v>1348</v>
      </c>
      <c r="B1403" t="s">
        <v>1349</v>
      </c>
      <c r="C1403" t="s">
        <v>41</v>
      </c>
      <c r="D1403">
        <v>46.046669999999999</v>
      </c>
      <c r="E1403">
        <v>-110.65278000000001</v>
      </c>
      <c r="F1403">
        <v>5310</v>
      </c>
      <c r="K1403">
        <v>0</v>
      </c>
      <c r="O1403" t="s">
        <v>151</v>
      </c>
      <c r="Q1403" t="s">
        <v>21</v>
      </c>
    </row>
    <row r="1404" spans="1:17" x14ac:dyDescent="0.25">
      <c r="A1404" t="s">
        <v>1261</v>
      </c>
      <c r="B1404" t="s">
        <v>1262</v>
      </c>
      <c r="C1404" t="s">
        <v>41</v>
      </c>
      <c r="D1404">
        <v>44.966670000000001</v>
      </c>
      <c r="E1404">
        <v>-111.95</v>
      </c>
      <c r="F1404">
        <v>7000</v>
      </c>
      <c r="K1404">
        <v>0</v>
      </c>
      <c r="O1404" t="s">
        <v>57</v>
      </c>
      <c r="Q1404" t="s">
        <v>21</v>
      </c>
    </row>
    <row r="1405" spans="1:17" x14ac:dyDescent="0.25">
      <c r="A1405" t="s">
        <v>1328</v>
      </c>
      <c r="B1405" t="s">
        <v>1329</v>
      </c>
      <c r="C1405" t="s">
        <v>37</v>
      </c>
      <c r="D1405">
        <v>44.668329999999997</v>
      </c>
      <c r="E1405">
        <v>-108.90833000000001</v>
      </c>
      <c r="K1405">
        <v>0</v>
      </c>
      <c r="O1405" t="s">
        <v>51</v>
      </c>
      <c r="Q1405" t="s">
        <v>21</v>
      </c>
    </row>
    <row r="1406" spans="1:17" x14ac:dyDescent="0.25">
      <c r="A1406" t="s">
        <v>1311</v>
      </c>
      <c r="B1406" t="s">
        <v>1312</v>
      </c>
      <c r="C1406" t="s">
        <v>37</v>
      </c>
      <c r="D1406">
        <v>44.516669999999998</v>
      </c>
      <c r="E1406">
        <v>-109.09721999999999</v>
      </c>
      <c r="K1406">
        <v>0</v>
      </c>
      <c r="O1406" t="s">
        <v>51</v>
      </c>
      <c r="Q1406" t="s">
        <v>21</v>
      </c>
    </row>
    <row r="1407" spans="1:17" x14ac:dyDescent="0.25">
      <c r="A1407" t="s">
        <v>1315</v>
      </c>
      <c r="B1407" t="s">
        <v>1316</v>
      </c>
      <c r="C1407" t="s">
        <v>37</v>
      </c>
      <c r="D1407">
        <v>44.668329999999997</v>
      </c>
      <c r="E1407">
        <v>-108.90833000000001</v>
      </c>
      <c r="K1407">
        <v>0</v>
      </c>
      <c r="O1407" t="s">
        <v>51</v>
      </c>
      <c r="Q1407" t="s">
        <v>21</v>
      </c>
    </row>
    <row r="1408" spans="1:17" x14ac:dyDescent="0.25">
      <c r="A1408" t="s">
        <v>1322</v>
      </c>
      <c r="B1408" t="s">
        <v>1323</v>
      </c>
      <c r="C1408" t="s">
        <v>37</v>
      </c>
      <c r="D1408">
        <v>44.838610000000003</v>
      </c>
      <c r="E1408">
        <v>-108.43445</v>
      </c>
      <c r="K1408">
        <v>0</v>
      </c>
      <c r="O1408" t="s">
        <v>51</v>
      </c>
      <c r="Q1408" t="s">
        <v>21</v>
      </c>
    </row>
    <row r="1409" spans="1:17" x14ac:dyDescent="0.25">
      <c r="A1409" t="s">
        <v>1255</v>
      </c>
      <c r="B1409" t="s">
        <v>1256</v>
      </c>
      <c r="C1409" t="s">
        <v>37</v>
      </c>
      <c r="D1409">
        <v>44.738889999999998</v>
      </c>
      <c r="E1409">
        <v>-108.59389</v>
      </c>
      <c r="K1409">
        <v>0</v>
      </c>
      <c r="O1409" t="s">
        <v>51</v>
      </c>
      <c r="Q1409" t="s">
        <v>21</v>
      </c>
    </row>
    <row r="1410" spans="1:17" x14ac:dyDescent="0.25">
      <c r="A1410" t="s">
        <v>1267</v>
      </c>
      <c r="B1410" t="s">
        <v>1268</v>
      </c>
      <c r="C1410" t="s">
        <v>41</v>
      </c>
      <c r="D1410">
        <v>45.4</v>
      </c>
      <c r="E1410">
        <v>-110.95</v>
      </c>
      <c r="F1410">
        <v>8100</v>
      </c>
      <c r="K1410">
        <v>0</v>
      </c>
      <c r="O1410" t="s">
        <v>57</v>
      </c>
      <c r="Q1410" t="s">
        <v>21</v>
      </c>
    </row>
    <row r="1411" spans="1:17" x14ac:dyDescent="0.25">
      <c r="A1411" t="s">
        <v>3245</v>
      </c>
      <c r="B1411" t="s">
        <v>3246</v>
      </c>
      <c r="C1411" t="s">
        <v>2283</v>
      </c>
      <c r="D1411">
        <v>36.806399999999996</v>
      </c>
      <c r="E1411">
        <v>-108.395</v>
      </c>
      <c r="F1411">
        <v>0</v>
      </c>
      <c r="G1411" t="s">
        <v>1576</v>
      </c>
      <c r="K1411">
        <v>0</v>
      </c>
      <c r="O1411" t="s">
        <v>51</v>
      </c>
      <c r="Q1411" t="s">
        <v>2284</v>
      </c>
    </row>
    <row r="1412" spans="1:17" x14ac:dyDescent="0.25">
      <c r="A1412" t="s">
        <v>3247</v>
      </c>
      <c r="B1412" t="s">
        <v>3248</v>
      </c>
      <c r="C1412" t="s">
        <v>2283</v>
      </c>
      <c r="D1412">
        <v>36.773299999999999</v>
      </c>
      <c r="E1412">
        <v>-108.4406</v>
      </c>
      <c r="F1412">
        <v>5140</v>
      </c>
      <c r="G1412" t="s">
        <v>1576</v>
      </c>
      <c r="K1412">
        <v>0</v>
      </c>
      <c r="O1412" t="s">
        <v>51</v>
      </c>
      <c r="Q1412" t="s">
        <v>2284</v>
      </c>
    </row>
    <row r="1413" spans="1:17" x14ac:dyDescent="0.25">
      <c r="A1413" t="s">
        <v>1929</v>
      </c>
      <c r="B1413" t="s">
        <v>1930</v>
      </c>
      <c r="C1413" t="s">
        <v>1628</v>
      </c>
      <c r="D1413">
        <v>46.418610000000001</v>
      </c>
      <c r="E1413">
        <v>-117.18472</v>
      </c>
      <c r="F1413">
        <v>251.46</v>
      </c>
      <c r="G1413" t="s">
        <v>1589</v>
      </c>
      <c r="H1413" s="1">
        <v>37365</v>
      </c>
      <c r="J1413" t="s">
        <v>1577</v>
      </c>
      <c r="K1413">
        <v>0</v>
      </c>
      <c r="L1413" t="s">
        <v>1578</v>
      </c>
      <c r="O1413" t="s">
        <v>151</v>
      </c>
      <c r="P1413" t="s">
        <v>1585</v>
      </c>
      <c r="Q1413" t="s">
        <v>1580</v>
      </c>
    </row>
    <row r="1414" spans="1:17" x14ac:dyDescent="0.25">
      <c r="A1414" t="s">
        <v>3249</v>
      </c>
      <c r="B1414" t="s">
        <v>3250</v>
      </c>
      <c r="C1414" t="s">
        <v>2283</v>
      </c>
      <c r="D1414">
        <v>35.619399999999999</v>
      </c>
      <c r="E1414">
        <v>-106.3244</v>
      </c>
      <c r="G1414" t="s">
        <v>1576</v>
      </c>
      <c r="K1414">
        <v>0</v>
      </c>
      <c r="O1414" t="s">
        <v>20</v>
      </c>
      <c r="Q1414" t="s">
        <v>2284</v>
      </c>
    </row>
    <row r="1415" spans="1:17" x14ac:dyDescent="0.25">
      <c r="A1415" t="s">
        <v>3251</v>
      </c>
      <c r="B1415" t="s">
        <v>3252</v>
      </c>
      <c r="C1415" t="s">
        <v>19</v>
      </c>
      <c r="D1415">
        <v>38.232799999999997</v>
      </c>
      <c r="E1415">
        <v>-107.5411</v>
      </c>
      <c r="F1415">
        <v>8925.6</v>
      </c>
      <c r="G1415" t="s">
        <v>1576</v>
      </c>
      <c r="K1415">
        <v>0</v>
      </c>
      <c r="O1415" t="s">
        <v>30</v>
      </c>
      <c r="Q1415" t="s">
        <v>2284</v>
      </c>
    </row>
    <row r="1416" spans="1:17" x14ac:dyDescent="0.25">
      <c r="A1416" t="s">
        <v>1931</v>
      </c>
      <c r="B1416" t="s">
        <v>1932</v>
      </c>
      <c r="C1416" t="s">
        <v>410</v>
      </c>
      <c r="D1416">
        <v>47.901142</v>
      </c>
      <c r="E1416">
        <v>-116.71243</v>
      </c>
      <c r="F1416">
        <v>712.31759999999997</v>
      </c>
      <c r="G1416" t="s">
        <v>1589</v>
      </c>
      <c r="H1416" s="1">
        <v>41816</v>
      </c>
      <c r="J1416" t="s">
        <v>1577</v>
      </c>
      <c r="K1416">
        <v>0</v>
      </c>
      <c r="L1416" t="s">
        <v>1578</v>
      </c>
      <c r="O1416" t="s">
        <v>151</v>
      </c>
      <c r="P1416" t="s">
        <v>1585</v>
      </c>
      <c r="Q1416" t="s">
        <v>1580</v>
      </c>
    </row>
    <row r="1417" spans="1:17" x14ac:dyDescent="0.25">
      <c r="A1417" t="s">
        <v>3253</v>
      </c>
      <c r="B1417" t="s">
        <v>3254</v>
      </c>
      <c r="C1417" t="s">
        <v>19</v>
      </c>
      <c r="D1417">
        <v>40.982500000000002</v>
      </c>
      <c r="E1417">
        <v>-107.3822</v>
      </c>
      <c r="F1417">
        <v>6600</v>
      </c>
      <c r="G1417" t="s">
        <v>1576</v>
      </c>
      <c r="K1417">
        <v>0</v>
      </c>
      <c r="O1417" t="s">
        <v>51</v>
      </c>
      <c r="Q1417" t="s">
        <v>2284</v>
      </c>
    </row>
    <row r="1418" spans="1:17" x14ac:dyDescent="0.25">
      <c r="A1418" t="s">
        <v>3255</v>
      </c>
      <c r="B1418" t="s">
        <v>3256</v>
      </c>
      <c r="C1418" t="s">
        <v>19</v>
      </c>
      <c r="D1418">
        <v>37.9833</v>
      </c>
      <c r="E1418">
        <v>-107.2</v>
      </c>
      <c r="F1418">
        <v>11440</v>
      </c>
      <c r="G1418" t="s">
        <v>1576</v>
      </c>
      <c r="K1418">
        <v>0</v>
      </c>
      <c r="O1418" t="s">
        <v>57</v>
      </c>
      <c r="Q1418" t="s">
        <v>2284</v>
      </c>
    </row>
    <row r="1419" spans="1:17" x14ac:dyDescent="0.25">
      <c r="A1419" t="s">
        <v>3259</v>
      </c>
      <c r="B1419" t="s">
        <v>3260</v>
      </c>
      <c r="C1419" t="s">
        <v>1622</v>
      </c>
      <c r="D1419">
        <v>40.783299999999997</v>
      </c>
      <c r="E1419">
        <v>-111.1</v>
      </c>
      <c r="F1419">
        <v>7600</v>
      </c>
      <c r="G1419" t="s">
        <v>1576</v>
      </c>
      <c r="K1419">
        <v>0</v>
      </c>
      <c r="O1419" t="s">
        <v>57</v>
      </c>
      <c r="Q1419" t="s">
        <v>2284</v>
      </c>
    </row>
    <row r="1420" spans="1:17" x14ac:dyDescent="0.25">
      <c r="A1420" t="s">
        <v>3257</v>
      </c>
      <c r="B1420" t="s">
        <v>3258</v>
      </c>
      <c r="C1420" t="s">
        <v>1622</v>
      </c>
      <c r="D1420">
        <v>40.761099999999999</v>
      </c>
      <c r="E1420">
        <v>-111.1019</v>
      </c>
      <c r="F1420">
        <v>7668</v>
      </c>
      <c r="G1420" t="s">
        <v>1576</v>
      </c>
      <c r="K1420">
        <v>0</v>
      </c>
      <c r="O1420" t="s">
        <v>30</v>
      </c>
      <c r="Q1420" t="s">
        <v>2284</v>
      </c>
    </row>
    <row r="1421" spans="1:17" x14ac:dyDescent="0.25">
      <c r="A1421" t="s">
        <v>1283</v>
      </c>
      <c r="B1421" t="s">
        <v>1284</v>
      </c>
      <c r="C1421" t="s">
        <v>41</v>
      </c>
      <c r="D1421">
        <v>46.828060000000001</v>
      </c>
      <c r="E1421">
        <v>-111.19139</v>
      </c>
      <c r="K1421">
        <v>0</v>
      </c>
      <c r="O1421" t="s">
        <v>51</v>
      </c>
      <c r="Q1421" t="s">
        <v>21</v>
      </c>
    </row>
    <row r="1422" spans="1:17" x14ac:dyDescent="0.25">
      <c r="A1422" t="s">
        <v>486</v>
      </c>
      <c r="B1422" t="s">
        <v>487</v>
      </c>
      <c r="C1422" t="s">
        <v>41</v>
      </c>
      <c r="D1422">
        <v>47.2</v>
      </c>
      <c r="E1422">
        <v>-111.38333</v>
      </c>
      <c r="K1422">
        <v>0</v>
      </c>
      <c r="O1422" t="s">
        <v>51</v>
      </c>
      <c r="Q1422" t="s">
        <v>21</v>
      </c>
    </row>
    <row r="1423" spans="1:17" x14ac:dyDescent="0.25">
      <c r="A1423" t="s">
        <v>1241</v>
      </c>
      <c r="B1423" t="s">
        <v>1242</v>
      </c>
      <c r="C1423" t="s">
        <v>41</v>
      </c>
      <c r="D1423">
        <v>46.795830000000002</v>
      </c>
      <c r="E1423">
        <v>-111.17805</v>
      </c>
      <c r="K1423">
        <v>0</v>
      </c>
      <c r="O1423" t="s">
        <v>51</v>
      </c>
      <c r="Q1423" t="s">
        <v>21</v>
      </c>
    </row>
    <row r="1424" spans="1:17" x14ac:dyDescent="0.25">
      <c r="A1424" t="s">
        <v>522</v>
      </c>
      <c r="B1424" t="s">
        <v>523</v>
      </c>
      <c r="C1424" t="s">
        <v>41</v>
      </c>
      <c r="D1424">
        <v>46.795830000000002</v>
      </c>
      <c r="E1424">
        <v>-111.17805</v>
      </c>
      <c r="K1424">
        <v>0</v>
      </c>
      <c r="O1424" t="s">
        <v>51</v>
      </c>
      <c r="Q1424" t="s">
        <v>21</v>
      </c>
    </row>
    <row r="1425" spans="1:17" x14ac:dyDescent="0.25">
      <c r="A1425" t="s">
        <v>1592</v>
      </c>
      <c r="B1425" t="s">
        <v>1593</v>
      </c>
      <c r="C1425" t="s">
        <v>37</v>
      </c>
      <c r="D1425">
        <v>43.196270730000002</v>
      </c>
      <c r="E1425">
        <v>-110.8895682</v>
      </c>
      <c r="F1425">
        <v>5684</v>
      </c>
      <c r="G1425" t="s">
        <v>1576</v>
      </c>
      <c r="H1425" s="2">
        <v>0</v>
      </c>
      <c r="I1425">
        <v>13022500</v>
      </c>
      <c r="J1425" t="s">
        <v>1594</v>
      </c>
      <c r="K1425">
        <v>0</v>
      </c>
      <c r="L1425" t="s">
        <v>1595</v>
      </c>
      <c r="O1425" t="s">
        <v>51</v>
      </c>
      <c r="P1425" t="s">
        <v>1596</v>
      </c>
      <c r="Q1425" t="s">
        <v>1580</v>
      </c>
    </row>
    <row r="1426" spans="1:17" x14ac:dyDescent="0.25">
      <c r="A1426" t="s">
        <v>1935</v>
      </c>
      <c r="B1426" t="s">
        <v>1936</v>
      </c>
      <c r="C1426" t="s">
        <v>410</v>
      </c>
      <c r="D1426">
        <v>43.19730611</v>
      </c>
      <c r="E1426">
        <v>-112.3693021</v>
      </c>
      <c r="F1426">
        <v>4490</v>
      </c>
      <c r="G1426" t="s">
        <v>1576</v>
      </c>
      <c r="H1426" s="2">
        <v>0</v>
      </c>
      <c r="I1426">
        <v>13062500</v>
      </c>
      <c r="J1426" t="s">
        <v>1594</v>
      </c>
      <c r="K1426">
        <v>0</v>
      </c>
      <c r="L1426" t="s">
        <v>1595</v>
      </c>
      <c r="O1426" t="s">
        <v>51</v>
      </c>
      <c r="P1426" t="s">
        <v>1596</v>
      </c>
      <c r="Q1426" t="s">
        <v>1580</v>
      </c>
    </row>
    <row r="1427" spans="1:17" x14ac:dyDescent="0.25">
      <c r="A1427" t="s">
        <v>1792</v>
      </c>
      <c r="B1427" t="s">
        <v>1793</v>
      </c>
      <c r="C1427" t="s">
        <v>410</v>
      </c>
      <c r="D1427">
        <v>43.735360739999997</v>
      </c>
      <c r="E1427">
        <v>-111.8781013</v>
      </c>
      <c r="F1427">
        <v>4856</v>
      </c>
      <c r="G1427" t="s">
        <v>1576</v>
      </c>
      <c r="H1427" s="2">
        <v>0</v>
      </c>
      <c r="I1427">
        <v>13038500</v>
      </c>
      <c r="J1427" t="s">
        <v>1594</v>
      </c>
      <c r="K1427">
        <v>0</v>
      </c>
      <c r="L1427" t="s">
        <v>1595</v>
      </c>
      <c r="O1427" t="s">
        <v>51</v>
      </c>
      <c r="P1427" t="s">
        <v>1596</v>
      </c>
      <c r="Q1427" t="s">
        <v>1580</v>
      </c>
    </row>
    <row r="1428" spans="1:17" x14ac:dyDescent="0.25">
      <c r="A1428" t="s">
        <v>1818</v>
      </c>
      <c r="B1428" t="s">
        <v>1819</v>
      </c>
      <c r="C1428" t="s">
        <v>410</v>
      </c>
      <c r="D1428">
        <v>42.528145889999998</v>
      </c>
      <c r="E1428">
        <v>-114.0183847</v>
      </c>
      <c r="F1428">
        <v>4063</v>
      </c>
      <c r="G1428" t="s">
        <v>1576</v>
      </c>
      <c r="H1428" s="2">
        <v>0</v>
      </c>
      <c r="I1428">
        <v>13087995</v>
      </c>
      <c r="J1428" t="s">
        <v>1594</v>
      </c>
      <c r="K1428">
        <v>0</v>
      </c>
      <c r="L1428" t="s">
        <v>1595</v>
      </c>
      <c r="O1428" t="s">
        <v>51</v>
      </c>
      <c r="P1428" t="s">
        <v>1596</v>
      </c>
      <c r="Q1428" t="s">
        <v>1580</v>
      </c>
    </row>
    <row r="1429" spans="1:17" x14ac:dyDescent="0.25">
      <c r="A1429" t="s">
        <v>1600</v>
      </c>
      <c r="B1429" t="s">
        <v>1601</v>
      </c>
      <c r="C1429" t="s">
        <v>410</v>
      </c>
      <c r="D1429">
        <v>42.767518000000003</v>
      </c>
      <c r="E1429">
        <v>-112.879474</v>
      </c>
      <c r="F1429">
        <v>4242</v>
      </c>
      <c r="G1429" t="s">
        <v>1576</v>
      </c>
      <c r="I1429">
        <v>13077000</v>
      </c>
      <c r="J1429" t="s">
        <v>1594</v>
      </c>
      <c r="K1429">
        <v>0</v>
      </c>
      <c r="L1429" t="s">
        <v>1595</v>
      </c>
      <c r="O1429" t="s">
        <v>51</v>
      </c>
      <c r="P1429" t="s">
        <v>1596</v>
      </c>
      <c r="Q1429" t="s">
        <v>1580</v>
      </c>
    </row>
    <row r="1430" spans="1:17" x14ac:dyDescent="0.25">
      <c r="A1430" t="s">
        <v>1766</v>
      </c>
      <c r="B1430" t="s">
        <v>1767</v>
      </c>
      <c r="C1430" t="s">
        <v>37</v>
      </c>
      <c r="D1430">
        <v>43.372074730000001</v>
      </c>
      <c r="E1430">
        <v>-110.7386719</v>
      </c>
      <c r="F1430">
        <v>5950</v>
      </c>
      <c r="G1430" t="s">
        <v>1576</v>
      </c>
      <c r="H1430" s="2">
        <v>0</v>
      </c>
      <c r="I1430">
        <v>13018750</v>
      </c>
      <c r="J1430" t="s">
        <v>1594</v>
      </c>
      <c r="K1430">
        <v>0</v>
      </c>
      <c r="L1430" t="s">
        <v>1595</v>
      </c>
      <c r="O1430" t="s">
        <v>51</v>
      </c>
      <c r="P1430" t="s">
        <v>1596</v>
      </c>
      <c r="Q1430" t="s">
        <v>1580</v>
      </c>
    </row>
    <row r="1431" spans="1:17" x14ac:dyDescent="0.25">
      <c r="A1431" t="s">
        <v>1616</v>
      </c>
      <c r="B1431" t="s">
        <v>1617</v>
      </c>
      <c r="C1431" t="s">
        <v>410</v>
      </c>
      <c r="D1431">
        <v>43.125138460000002</v>
      </c>
      <c r="E1431">
        <v>-112.518792</v>
      </c>
      <c r="F1431">
        <v>4400</v>
      </c>
      <c r="G1431" t="s">
        <v>1576</v>
      </c>
      <c r="H1431" s="2">
        <v>0</v>
      </c>
      <c r="I1431">
        <v>13069500</v>
      </c>
      <c r="J1431" t="s">
        <v>1594</v>
      </c>
      <c r="K1431">
        <v>0</v>
      </c>
      <c r="L1431" t="s">
        <v>1595</v>
      </c>
      <c r="O1431" t="s">
        <v>51</v>
      </c>
      <c r="P1431" t="s">
        <v>1596</v>
      </c>
      <c r="Q1431" t="s">
        <v>1580</v>
      </c>
    </row>
    <row r="1432" spans="1:17" x14ac:dyDescent="0.25">
      <c r="A1432" t="s">
        <v>1702</v>
      </c>
      <c r="B1432" t="s">
        <v>1703</v>
      </c>
      <c r="C1432" t="s">
        <v>37</v>
      </c>
      <c r="D1432">
        <v>44.099145180000001</v>
      </c>
      <c r="E1432">
        <v>-110.667458</v>
      </c>
      <c r="F1432">
        <v>0</v>
      </c>
      <c r="G1432" t="s">
        <v>1576</v>
      </c>
      <c r="H1432" s="2">
        <v>0</v>
      </c>
      <c r="I1432">
        <v>13010065</v>
      </c>
      <c r="J1432" t="s">
        <v>1594</v>
      </c>
      <c r="K1432">
        <v>0</v>
      </c>
      <c r="L1432" t="s">
        <v>1595</v>
      </c>
      <c r="O1432" t="s">
        <v>51</v>
      </c>
      <c r="P1432" t="s">
        <v>1596</v>
      </c>
      <c r="Q1432" t="s">
        <v>1580</v>
      </c>
    </row>
    <row r="1433" spans="1:17" x14ac:dyDescent="0.25">
      <c r="A1433" t="s">
        <v>1732</v>
      </c>
      <c r="B1433" t="s">
        <v>1733</v>
      </c>
      <c r="C1433" t="s">
        <v>410</v>
      </c>
      <c r="D1433">
        <v>43.61239853</v>
      </c>
      <c r="E1433">
        <v>-111.6598844</v>
      </c>
      <c r="F1433">
        <v>5015</v>
      </c>
      <c r="G1433" t="s">
        <v>1576</v>
      </c>
      <c r="H1433" s="2">
        <v>0</v>
      </c>
      <c r="I1433">
        <v>13037500</v>
      </c>
      <c r="J1433" t="s">
        <v>1594</v>
      </c>
      <c r="K1433">
        <v>0</v>
      </c>
      <c r="L1433" t="s">
        <v>1595</v>
      </c>
      <c r="O1433" t="s">
        <v>51</v>
      </c>
      <c r="P1433" t="s">
        <v>1596</v>
      </c>
      <c r="Q1433" t="s">
        <v>1580</v>
      </c>
    </row>
    <row r="1434" spans="1:17" x14ac:dyDescent="0.25">
      <c r="A1434" t="s">
        <v>1924</v>
      </c>
      <c r="B1434" t="s">
        <v>1925</v>
      </c>
      <c r="C1434" t="s">
        <v>410</v>
      </c>
      <c r="D1434">
        <v>43.604722000000002</v>
      </c>
      <c r="E1434">
        <v>-112.058611</v>
      </c>
      <c r="F1434">
        <v>4740</v>
      </c>
      <c r="G1434" t="s">
        <v>1576</v>
      </c>
      <c r="H1434" s="2">
        <v>0</v>
      </c>
      <c r="I1434">
        <v>13057155</v>
      </c>
      <c r="J1434" t="s">
        <v>1594</v>
      </c>
      <c r="K1434">
        <v>0</v>
      </c>
      <c r="O1434" t="s">
        <v>51</v>
      </c>
      <c r="P1434" t="s">
        <v>1926</v>
      </c>
      <c r="Q1434" t="s">
        <v>1580</v>
      </c>
    </row>
    <row r="1435" spans="1:17" x14ac:dyDescent="0.25">
      <c r="A1435" t="s">
        <v>1858</v>
      </c>
      <c r="B1435" t="s">
        <v>1859</v>
      </c>
      <c r="C1435" t="s">
        <v>410</v>
      </c>
      <c r="D1435">
        <v>43.350899740000003</v>
      </c>
      <c r="E1435">
        <v>-111.2188817</v>
      </c>
      <c r="F1435">
        <v>5353</v>
      </c>
      <c r="G1435" t="s">
        <v>1576</v>
      </c>
      <c r="H1435" s="2">
        <v>0</v>
      </c>
      <c r="I1435">
        <v>13032500</v>
      </c>
      <c r="J1435" t="s">
        <v>1594</v>
      </c>
      <c r="K1435">
        <v>0</v>
      </c>
      <c r="L1435" t="s">
        <v>1595</v>
      </c>
      <c r="O1435" t="s">
        <v>51</v>
      </c>
      <c r="P1435" t="s">
        <v>1596</v>
      </c>
      <c r="Q1435" t="s">
        <v>1580</v>
      </c>
    </row>
    <row r="1436" spans="1:17" x14ac:dyDescent="0.25">
      <c r="A1436" t="s">
        <v>1822</v>
      </c>
      <c r="B1436" t="s">
        <v>1823</v>
      </c>
      <c r="C1436" t="s">
        <v>410</v>
      </c>
      <c r="D1436">
        <v>42.67289753</v>
      </c>
      <c r="E1436">
        <v>-113.5003366</v>
      </c>
      <c r="F1436">
        <v>4132</v>
      </c>
      <c r="G1436" t="s">
        <v>1576</v>
      </c>
      <c r="H1436" s="2">
        <v>0</v>
      </c>
      <c r="I1436">
        <v>13081500</v>
      </c>
      <c r="J1436" t="s">
        <v>1594</v>
      </c>
      <c r="K1436">
        <v>0</v>
      </c>
      <c r="L1436" t="s">
        <v>1595</v>
      </c>
      <c r="O1436" t="s">
        <v>51</v>
      </c>
      <c r="P1436" t="s">
        <v>1596</v>
      </c>
      <c r="Q1436" t="s">
        <v>1580</v>
      </c>
    </row>
    <row r="1437" spans="1:17" x14ac:dyDescent="0.25">
      <c r="A1437" t="s">
        <v>1922</v>
      </c>
      <c r="B1437" t="s">
        <v>1923</v>
      </c>
      <c r="C1437" t="s">
        <v>410</v>
      </c>
      <c r="D1437">
        <v>43.413055559999997</v>
      </c>
      <c r="E1437">
        <v>-112.13500000000001</v>
      </c>
      <c r="F1437">
        <v>4599</v>
      </c>
      <c r="G1437" t="s">
        <v>1576</v>
      </c>
      <c r="H1437" s="2">
        <v>0</v>
      </c>
      <c r="I1437">
        <v>13060000</v>
      </c>
      <c r="J1437" t="s">
        <v>1594</v>
      </c>
      <c r="K1437">
        <v>0</v>
      </c>
      <c r="L1437" t="s">
        <v>1595</v>
      </c>
      <c r="O1437" t="s">
        <v>51</v>
      </c>
      <c r="P1437" t="s">
        <v>1596</v>
      </c>
      <c r="Q1437" t="s">
        <v>1580</v>
      </c>
    </row>
    <row r="1438" spans="1:17" x14ac:dyDescent="0.25">
      <c r="A1438" t="s">
        <v>3261</v>
      </c>
      <c r="B1438" t="s">
        <v>3262</v>
      </c>
      <c r="C1438" t="s">
        <v>37</v>
      </c>
      <c r="D1438">
        <v>42.466700000000003</v>
      </c>
      <c r="E1438">
        <v>-110.5333</v>
      </c>
      <c r="F1438">
        <v>8060</v>
      </c>
      <c r="G1438" t="s">
        <v>1576</v>
      </c>
      <c r="K1438">
        <v>0</v>
      </c>
      <c r="O1438" t="s">
        <v>57</v>
      </c>
      <c r="Q1438" t="s">
        <v>2284</v>
      </c>
    </row>
    <row r="1439" spans="1:17" x14ac:dyDescent="0.25">
      <c r="A1439" t="s">
        <v>3263</v>
      </c>
      <c r="B1439" t="s">
        <v>3264</v>
      </c>
      <c r="C1439" t="s">
        <v>1622</v>
      </c>
      <c r="D1439">
        <v>40.549999999999997</v>
      </c>
      <c r="E1439">
        <v>-111.65</v>
      </c>
      <c r="F1439">
        <v>9640</v>
      </c>
      <c r="G1439" t="s">
        <v>1576</v>
      </c>
      <c r="K1439">
        <v>0</v>
      </c>
      <c r="O1439" t="s">
        <v>57</v>
      </c>
      <c r="Q1439" t="s">
        <v>2284</v>
      </c>
    </row>
    <row r="1440" spans="1:17" x14ac:dyDescent="0.25">
      <c r="A1440" t="s">
        <v>863</v>
      </c>
      <c r="B1440" t="s">
        <v>864</v>
      </c>
      <c r="C1440" t="s">
        <v>37</v>
      </c>
      <c r="D1440">
        <v>42.968330000000002</v>
      </c>
      <c r="E1440">
        <v>-109.03694</v>
      </c>
      <c r="K1440">
        <v>0</v>
      </c>
      <c r="O1440" t="s">
        <v>51</v>
      </c>
      <c r="Q1440" t="s">
        <v>21</v>
      </c>
    </row>
    <row r="1441" spans="1:17" x14ac:dyDescent="0.25">
      <c r="A1441" t="s">
        <v>3265</v>
      </c>
      <c r="B1441" t="s">
        <v>3266</v>
      </c>
      <c r="C1441" t="s">
        <v>19</v>
      </c>
      <c r="D1441">
        <v>38.5608</v>
      </c>
      <c r="E1441">
        <v>-107.31610000000001</v>
      </c>
      <c r="F1441">
        <v>7790</v>
      </c>
      <c r="G1441" t="s">
        <v>1576</v>
      </c>
      <c r="K1441">
        <v>0</v>
      </c>
      <c r="O1441" t="s">
        <v>51</v>
      </c>
      <c r="Q1441" t="s">
        <v>2284</v>
      </c>
    </row>
    <row r="1442" spans="1:17" x14ac:dyDescent="0.25">
      <c r="A1442" t="s">
        <v>3267</v>
      </c>
      <c r="B1442" t="s">
        <v>3268</v>
      </c>
      <c r="C1442" t="s">
        <v>1622</v>
      </c>
      <c r="D1442">
        <v>40.08</v>
      </c>
      <c r="E1442">
        <v>-111.0127</v>
      </c>
      <c r="F1442">
        <v>7602.4</v>
      </c>
      <c r="G1442" t="s">
        <v>1576</v>
      </c>
      <c r="K1442">
        <v>0</v>
      </c>
      <c r="O1442" t="s">
        <v>30</v>
      </c>
      <c r="Q1442" t="s">
        <v>2284</v>
      </c>
    </row>
    <row r="1443" spans="1:17" x14ac:dyDescent="0.25">
      <c r="A1443" t="s">
        <v>1295</v>
      </c>
      <c r="B1443" t="s">
        <v>1296</v>
      </c>
      <c r="C1443" t="s">
        <v>44</v>
      </c>
      <c r="D1443">
        <v>39.474170000000001</v>
      </c>
      <c r="E1443">
        <v>-98.282780000000002</v>
      </c>
      <c r="K1443">
        <v>0</v>
      </c>
      <c r="O1443" t="s">
        <v>51</v>
      </c>
      <c r="Q1443" t="s">
        <v>21</v>
      </c>
    </row>
    <row r="1444" spans="1:17" x14ac:dyDescent="0.25">
      <c r="A1444" t="s">
        <v>1196</v>
      </c>
      <c r="B1444" t="s">
        <v>1197</v>
      </c>
      <c r="C1444" t="s">
        <v>37</v>
      </c>
      <c r="D1444">
        <v>41.333329999999997</v>
      </c>
      <c r="E1444">
        <v>-106.5</v>
      </c>
      <c r="F1444">
        <v>8440</v>
      </c>
      <c r="K1444">
        <v>0</v>
      </c>
      <c r="O1444" t="s">
        <v>57</v>
      </c>
      <c r="Q1444" t="s">
        <v>21</v>
      </c>
    </row>
    <row r="1445" spans="1:17" x14ac:dyDescent="0.25">
      <c r="A1445" t="s">
        <v>3269</v>
      </c>
      <c r="B1445" t="s">
        <v>3270</v>
      </c>
      <c r="C1445" t="s">
        <v>19</v>
      </c>
      <c r="D1445">
        <v>37.968000000000004</v>
      </c>
      <c r="E1445">
        <v>-105.53789999999999</v>
      </c>
      <c r="F1445">
        <v>10800</v>
      </c>
      <c r="G1445" t="s">
        <v>1576</v>
      </c>
      <c r="K1445">
        <v>0</v>
      </c>
      <c r="O1445" t="s">
        <v>57</v>
      </c>
      <c r="Q1445" t="s">
        <v>2284</v>
      </c>
    </row>
    <row r="1446" spans="1:17" x14ac:dyDescent="0.25">
      <c r="A1446" t="s">
        <v>1334</v>
      </c>
      <c r="B1446" t="s">
        <v>1335</v>
      </c>
      <c r="C1446" t="s">
        <v>86</v>
      </c>
      <c r="D1446">
        <v>31.18778</v>
      </c>
      <c r="E1446">
        <v>-100.50166</v>
      </c>
      <c r="K1446">
        <v>0</v>
      </c>
      <c r="O1446" t="s">
        <v>51</v>
      </c>
      <c r="Q1446" t="s">
        <v>21</v>
      </c>
    </row>
    <row r="1447" spans="1:17" x14ac:dyDescent="0.25">
      <c r="A1447" t="s">
        <v>3271</v>
      </c>
      <c r="B1447" t="s">
        <v>3272</v>
      </c>
      <c r="C1447" t="s">
        <v>1622</v>
      </c>
      <c r="D1447">
        <v>37.846699999999998</v>
      </c>
      <c r="E1447">
        <v>-109.3689</v>
      </c>
      <c r="F1447">
        <v>7170</v>
      </c>
      <c r="G1447" t="s">
        <v>1576</v>
      </c>
      <c r="K1447">
        <v>0</v>
      </c>
      <c r="O1447" t="s">
        <v>51</v>
      </c>
      <c r="Q1447" t="s">
        <v>2284</v>
      </c>
    </row>
    <row r="1448" spans="1:17" x14ac:dyDescent="0.25">
      <c r="A1448" t="s">
        <v>1237</v>
      </c>
      <c r="B1448" t="s">
        <v>1238</v>
      </c>
      <c r="C1448" t="s">
        <v>19</v>
      </c>
      <c r="D1448">
        <v>39.237780000000001</v>
      </c>
      <c r="E1448">
        <v>-106.58972</v>
      </c>
      <c r="K1448">
        <v>0</v>
      </c>
      <c r="O1448" t="s">
        <v>20</v>
      </c>
      <c r="Q1448" t="s">
        <v>21</v>
      </c>
    </row>
    <row r="1449" spans="1:17" x14ac:dyDescent="0.25">
      <c r="A1449" t="s">
        <v>1243</v>
      </c>
      <c r="B1449" t="s">
        <v>1244</v>
      </c>
      <c r="C1449" t="s">
        <v>41</v>
      </c>
      <c r="D1449">
        <v>48.753889999999998</v>
      </c>
      <c r="E1449">
        <v>-113.16665999999999</v>
      </c>
      <c r="K1449">
        <v>0</v>
      </c>
      <c r="O1449" t="s">
        <v>51</v>
      </c>
      <c r="Q1449" t="s">
        <v>21</v>
      </c>
    </row>
    <row r="1450" spans="1:17" x14ac:dyDescent="0.25">
      <c r="A1450" t="s">
        <v>1247</v>
      </c>
      <c r="B1450" t="s">
        <v>1248</v>
      </c>
      <c r="C1450" t="s">
        <v>37</v>
      </c>
      <c r="D1450">
        <v>43.66695</v>
      </c>
      <c r="E1450">
        <v>-108.855</v>
      </c>
      <c r="K1450">
        <v>0</v>
      </c>
      <c r="O1450" t="s">
        <v>51</v>
      </c>
      <c r="Q1450" t="s">
        <v>21</v>
      </c>
    </row>
    <row r="1451" spans="1:17" x14ac:dyDescent="0.25">
      <c r="A1451" t="s">
        <v>1245</v>
      </c>
      <c r="B1451" t="s">
        <v>1246</v>
      </c>
      <c r="C1451" t="s">
        <v>37</v>
      </c>
      <c r="D1451">
        <v>43.663890000000002</v>
      </c>
      <c r="E1451">
        <v>-108.79361</v>
      </c>
      <c r="K1451">
        <v>0</v>
      </c>
      <c r="O1451" t="s">
        <v>51</v>
      </c>
      <c r="Q1451" t="s">
        <v>21</v>
      </c>
    </row>
    <row r="1452" spans="1:17" x14ac:dyDescent="0.25">
      <c r="A1452" t="s">
        <v>1251</v>
      </c>
      <c r="B1452" t="s">
        <v>1252</v>
      </c>
      <c r="C1452" t="s">
        <v>41</v>
      </c>
      <c r="D1452">
        <v>46.083329999999997</v>
      </c>
      <c r="E1452">
        <v>-110.43333</v>
      </c>
      <c r="F1452">
        <v>8100</v>
      </c>
      <c r="K1452">
        <v>0</v>
      </c>
      <c r="O1452" t="s">
        <v>57</v>
      </c>
      <c r="Q1452" t="s">
        <v>21</v>
      </c>
    </row>
    <row r="1453" spans="1:17" x14ac:dyDescent="0.25">
      <c r="A1453" t="s">
        <v>1253</v>
      </c>
      <c r="B1453" t="s">
        <v>1254</v>
      </c>
      <c r="C1453" t="s">
        <v>37</v>
      </c>
      <c r="D1453">
        <v>44.20834</v>
      </c>
      <c r="E1453">
        <v>-109.55417</v>
      </c>
      <c r="K1453">
        <v>0</v>
      </c>
      <c r="O1453" t="s">
        <v>51</v>
      </c>
      <c r="Q1453" t="s">
        <v>21</v>
      </c>
    </row>
    <row r="1454" spans="1:17" x14ac:dyDescent="0.25">
      <c r="A1454" t="s">
        <v>1249</v>
      </c>
      <c r="B1454" t="s">
        <v>1250</v>
      </c>
      <c r="C1454" t="s">
        <v>37</v>
      </c>
      <c r="D1454">
        <v>44.419170000000001</v>
      </c>
      <c r="E1454">
        <v>-109.25723000000001</v>
      </c>
      <c r="K1454">
        <v>0</v>
      </c>
      <c r="O1454" t="s">
        <v>51</v>
      </c>
      <c r="Q1454" t="s">
        <v>21</v>
      </c>
    </row>
    <row r="1455" spans="1:17" x14ac:dyDescent="0.25">
      <c r="A1455" t="s">
        <v>1293</v>
      </c>
      <c r="B1455" t="s">
        <v>1294</v>
      </c>
      <c r="C1455" t="s">
        <v>44</v>
      </c>
      <c r="D1455">
        <v>39.373890000000003</v>
      </c>
      <c r="E1455">
        <v>-99.581670000000003</v>
      </c>
      <c r="K1455">
        <v>0</v>
      </c>
      <c r="O1455" t="s">
        <v>51</v>
      </c>
      <c r="Q1455" t="s">
        <v>21</v>
      </c>
    </row>
    <row r="1456" spans="1:17" x14ac:dyDescent="0.25">
      <c r="A1456" t="s">
        <v>1299</v>
      </c>
      <c r="B1456" t="s">
        <v>1300</v>
      </c>
      <c r="C1456" t="s">
        <v>44</v>
      </c>
      <c r="D1456">
        <v>39.428609999999999</v>
      </c>
      <c r="E1456">
        <v>-98.69444</v>
      </c>
      <c r="K1456">
        <v>0</v>
      </c>
      <c r="O1456" t="s">
        <v>51</v>
      </c>
      <c r="Q1456" t="s">
        <v>21</v>
      </c>
    </row>
    <row r="1457" spans="1:17" x14ac:dyDescent="0.25">
      <c r="A1457" t="s">
        <v>1239</v>
      </c>
      <c r="B1457" t="s">
        <v>1240</v>
      </c>
      <c r="C1457" t="s">
        <v>41</v>
      </c>
      <c r="D1457">
        <v>47.633339999999997</v>
      </c>
      <c r="E1457">
        <v>-112.86667</v>
      </c>
      <c r="K1457">
        <v>0</v>
      </c>
      <c r="O1457" t="s">
        <v>51</v>
      </c>
      <c r="Q1457" t="s">
        <v>21</v>
      </c>
    </row>
    <row r="1458" spans="1:17" x14ac:dyDescent="0.25">
      <c r="A1458" t="s">
        <v>1301</v>
      </c>
      <c r="B1458" t="s">
        <v>1302</v>
      </c>
      <c r="C1458" t="s">
        <v>37</v>
      </c>
      <c r="D1458">
        <v>42.566670000000002</v>
      </c>
      <c r="E1458">
        <v>-108.83334000000001</v>
      </c>
      <c r="F1458">
        <v>9040</v>
      </c>
      <c r="K1458">
        <v>0</v>
      </c>
      <c r="O1458" t="s">
        <v>57</v>
      </c>
      <c r="Q1458" t="s">
        <v>21</v>
      </c>
    </row>
    <row r="1459" spans="1:17" x14ac:dyDescent="0.25">
      <c r="A1459" t="s">
        <v>3273</v>
      </c>
      <c r="B1459" t="s">
        <v>3274</v>
      </c>
      <c r="C1459" t="s">
        <v>2283</v>
      </c>
      <c r="D1459">
        <v>32.5886</v>
      </c>
      <c r="E1459">
        <v>-104.42140000000001</v>
      </c>
      <c r="G1459" t="s">
        <v>1576</v>
      </c>
      <c r="K1459">
        <v>0</v>
      </c>
      <c r="O1459" t="s">
        <v>51</v>
      </c>
      <c r="Q1459" t="s">
        <v>2284</v>
      </c>
    </row>
    <row r="1460" spans="1:17" x14ac:dyDescent="0.25">
      <c r="A1460" t="s">
        <v>3468</v>
      </c>
      <c r="B1460" t="s">
        <v>3469</v>
      </c>
      <c r="C1460" t="s">
        <v>1987</v>
      </c>
      <c r="D1460">
        <v>32.488900000000001</v>
      </c>
      <c r="E1460">
        <v>-114.7847</v>
      </c>
      <c r="F1460">
        <v>74.02</v>
      </c>
      <c r="G1460" t="s">
        <v>1576</v>
      </c>
      <c r="K1460">
        <v>0</v>
      </c>
      <c r="O1460" t="s">
        <v>34</v>
      </c>
      <c r="Q1460" t="s">
        <v>3441</v>
      </c>
    </row>
    <row r="1461" spans="1:17" x14ac:dyDescent="0.25">
      <c r="A1461" t="s">
        <v>2241</v>
      </c>
      <c r="B1461" t="s">
        <v>2242</v>
      </c>
      <c r="C1461" t="s">
        <v>1604</v>
      </c>
      <c r="D1461">
        <v>33.15</v>
      </c>
      <c r="E1461">
        <v>-114.6</v>
      </c>
      <c r="G1461" t="s">
        <v>1589</v>
      </c>
      <c r="K1461">
        <v>0</v>
      </c>
      <c r="O1461" t="s">
        <v>20</v>
      </c>
      <c r="Q1461" t="s">
        <v>1988</v>
      </c>
    </row>
    <row r="1462" spans="1:17" x14ac:dyDescent="0.25">
      <c r="A1462" t="s">
        <v>2243</v>
      </c>
      <c r="B1462" t="s">
        <v>2244</v>
      </c>
      <c r="C1462" t="s">
        <v>1987</v>
      </c>
      <c r="D1462">
        <v>32.880000000000003</v>
      </c>
      <c r="E1462">
        <v>-114.46</v>
      </c>
      <c r="G1462" t="s">
        <v>1576</v>
      </c>
      <c r="K1462">
        <v>0</v>
      </c>
      <c r="O1462" t="s">
        <v>20</v>
      </c>
      <c r="Q1462" t="s">
        <v>1988</v>
      </c>
    </row>
    <row r="1463" spans="1:17" x14ac:dyDescent="0.25">
      <c r="A1463" t="s">
        <v>1947</v>
      </c>
      <c r="B1463" t="s">
        <v>1948</v>
      </c>
      <c r="C1463" t="s">
        <v>410</v>
      </c>
      <c r="D1463">
        <v>47.987552000000001</v>
      </c>
      <c r="E1463">
        <v>-116.884978</v>
      </c>
      <c r="F1463">
        <v>756</v>
      </c>
      <c r="G1463" t="s">
        <v>1589</v>
      </c>
      <c r="H1463" s="1">
        <v>41962</v>
      </c>
      <c r="J1463" t="s">
        <v>1577</v>
      </c>
      <c r="K1463">
        <v>0</v>
      </c>
      <c r="L1463" t="s">
        <v>1578</v>
      </c>
      <c r="O1463" t="s">
        <v>151</v>
      </c>
      <c r="P1463" t="s">
        <v>1585</v>
      </c>
      <c r="Q1463" t="s">
        <v>1580</v>
      </c>
    </row>
    <row r="1464" spans="1:17" x14ac:dyDescent="0.25">
      <c r="A1464" t="s">
        <v>1344</v>
      </c>
      <c r="B1464" t="s">
        <v>1345</v>
      </c>
      <c r="C1464" t="s">
        <v>86</v>
      </c>
      <c r="D1464">
        <v>31.33</v>
      </c>
      <c r="E1464">
        <v>-100.64</v>
      </c>
      <c r="K1464">
        <v>0</v>
      </c>
      <c r="O1464" t="s">
        <v>51</v>
      </c>
      <c r="Q1464" t="s">
        <v>21</v>
      </c>
    </row>
    <row r="1465" spans="1:17" x14ac:dyDescent="0.25">
      <c r="A1465" t="s">
        <v>3275</v>
      </c>
      <c r="B1465" t="s">
        <v>3276</v>
      </c>
      <c r="C1465" t="s">
        <v>1622</v>
      </c>
      <c r="D1465">
        <v>37.919400000000003</v>
      </c>
      <c r="E1465">
        <v>-109.4342</v>
      </c>
      <c r="F1465">
        <v>7720</v>
      </c>
      <c r="G1465" t="s">
        <v>1576</v>
      </c>
      <c r="K1465">
        <v>0</v>
      </c>
      <c r="O1465" t="s">
        <v>51</v>
      </c>
      <c r="Q1465" t="s">
        <v>2284</v>
      </c>
    </row>
    <row r="1466" spans="1:17" x14ac:dyDescent="0.25">
      <c r="A1466" t="s">
        <v>3277</v>
      </c>
      <c r="B1466" t="s">
        <v>3278</v>
      </c>
      <c r="C1466" t="s">
        <v>19</v>
      </c>
      <c r="D1466">
        <v>37.011099999999999</v>
      </c>
      <c r="E1466">
        <v>-107.5964</v>
      </c>
      <c r="F1466">
        <v>6160</v>
      </c>
      <c r="G1466" t="s">
        <v>1576</v>
      </c>
      <c r="K1466">
        <v>0</v>
      </c>
      <c r="O1466" t="s">
        <v>51</v>
      </c>
      <c r="Q1466" t="s">
        <v>2284</v>
      </c>
    </row>
    <row r="1467" spans="1:17" x14ac:dyDescent="0.25">
      <c r="A1467" t="s">
        <v>3518</v>
      </c>
      <c r="B1467" t="s">
        <v>3519</v>
      </c>
      <c r="C1467" t="s">
        <v>1643</v>
      </c>
      <c r="D1467">
        <v>40.628999999999998</v>
      </c>
      <c r="E1467">
        <v>-122.474</v>
      </c>
      <c r="F1467">
        <v>816</v>
      </c>
      <c r="G1467" t="s">
        <v>1589</v>
      </c>
      <c r="K1467">
        <v>0</v>
      </c>
      <c r="O1467" t="s">
        <v>30</v>
      </c>
      <c r="Q1467" t="s">
        <v>3478</v>
      </c>
    </row>
    <row r="1468" spans="1:17" x14ac:dyDescent="0.25">
      <c r="A1468" t="s">
        <v>3279</v>
      </c>
      <c r="B1468" t="s">
        <v>3280</v>
      </c>
      <c r="C1468" t="s">
        <v>37</v>
      </c>
      <c r="D1468">
        <v>42.533299999999997</v>
      </c>
      <c r="E1468">
        <v>-110.66670000000001</v>
      </c>
      <c r="F1468">
        <v>9000</v>
      </c>
      <c r="G1468" t="s">
        <v>1576</v>
      </c>
      <c r="K1468">
        <v>0</v>
      </c>
      <c r="O1468" t="s">
        <v>57</v>
      </c>
      <c r="Q1468" t="s">
        <v>2284</v>
      </c>
    </row>
    <row r="1469" spans="1:17" x14ac:dyDescent="0.25">
      <c r="A1469" t="s">
        <v>3281</v>
      </c>
      <c r="B1469" t="s">
        <v>3282</v>
      </c>
      <c r="C1469" t="s">
        <v>19</v>
      </c>
      <c r="D1469">
        <v>37.700000000000003</v>
      </c>
      <c r="E1469">
        <v>-107.7833</v>
      </c>
      <c r="F1469">
        <v>10660</v>
      </c>
      <c r="G1469" t="s">
        <v>1576</v>
      </c>
      <c r="K1469">
        <v>0</v>
      </c>
      <c r="O1469" t="s">
        <v>57</v>
      </c>
      <c r="Q1469" t="s">
        <v>2284</v>
      </c>
    </row>
    <row r="1470" spans="1:17" x14ac:dyDescent="0.25">
      <c r="A1470" t="s">
        <v>1307</v>
      </c>
      <c r="B1470" t="s">
        <v>1308</v>
      </c>
      <c r="C1470" t="s">
        <v>41</v>
      </c>
      <c r="D1470">
        <v>46.783329999999999</v>
      </c>
      <c r="E1470">
        <v>-110.61667</v>
      </c>
      <c r="F1470">
        <v>8100</v>
      </c>
      <c r="K1470">
        <v>0</v>
      </c>
      <c r="O1470" t="s">
        <v>57</v>
      </c>
      <c r="Q1470" t="s">
        <v>21</v>
      </c>
    </row>
    <row r="1471" spans="1:17" x14ac:dyDescent="0.25">
      <c r="A1471" t="s">
        <v>1275</v>
      </c>
      <c r="B1471" t="s">
        <v>1276</v>
      </c>
      <c r="C1471" t="s">
        <v>37</v>
      </c>
      <c r="D1471">
        <v>43.033329999999999</v>
      </c>
      <c r="E1471">
        <v>-109.16665999999999</v>
      </c>
      <c r="F1471">
        <v>8620</v>
      </c>
      <c r="K1471">
        <v>0</v>
      </c>
      <c r="O1471" t="s">
        <v>57</v>
      </c>
      <c r="Q1471" t="s">
        <v>21</v>
      </c>
    </row>
    <row r="1472" spans="1:17" x14ac:dyDescent="0.25">
      <c r="A1472" t="s">
        <v>1332</v>
      </c>
      <c r="B1472" t="s">
        <v>1333</v>
      </c>
      <c r="C1472" t="s">
        <v>41</v>
      </c>
      <c r="D1472">
        <v>48.947220000000002</v>
      </c>
      <c r="E1472">
        <v>-113.37444000000001</v>
      </c>
      <c r="K1472">
        <v>0</v>
      </c>
      <c r="O1472" t="s">
        <v>34</v>
      </c>
      <c r="Q1472" t="s">
        <v>21</v>
      </c>
    </row>
    <row r="1473" spans="1:17" x14ac:dyDescent="0.25">
      <c r="A1473" t="s">
        <v>333</v>
      </c>
      <c r="B1473" t="s">
        <v>334</v>
      </c>
      <c r="C1473" t="s">
        <v>41</v>
      </c>
      <c r="D1473">
        <v>48.946390000000001</v>
      </c>
      <c r="E1473">
        <v>-113.09528</v>
      </c>
      <c r="K1473">
        <v>0</v>
      </c>
      <c r="O1473" t="s">
        <v>34</v>
      </c>
      <c r="Q1473" t="s">
        <v>21</v>
      </c>
    </row>
    <row r="1474" spans="1:17" x14ac:dyDescent="0.25">
      <c r="A1474" t="s">
        <v>1281</v>
      </c>
      <c r="B1474" t="s">
        <v>1282</v>
      </c>
      <c r="C1474" t="s">
        <v>41</v>
      </c>
      <c r="D1474">
        <v>48.852780000000003</v>
      </c>
      <c r="E1474">
        <v>-113.41388999999999</v>
      </c>
      <c r="K1474">
        <v>0</v>
      </c>
      <c r="O1474" t="s">
        <v>34</v>
      </c>
      <c r="Q1474" t="s">
        <v>21</v>
      </c>
    </row>
    <row r="1475" spans="1:17" x14ac:dyDescent="0.25">
      <c r="A1475" t="s">
        <v>362</v>
      </c>
      <c r="B1475" t="s">
        <v>363</v>
      </c>
      <c r="C1475" t="s">
        <v>41</v>
      </c>
      <c r="D1475">
        <v>48.913609999999998</v>
      </c>
      <c r="E1475">
        <v>-113.20305</v>
      </c>
      <c r="K1475">
        <v>0</v>
      </c>
      <c r="O1475" t="s">
        <v>34</v>
      </c>
      <c r="Q1475" t="s">
        <v>21</v>
      </c>
    </row>
    <row r="1476" spans="1:17" x14ac:dyDescent="0.25">
      <c r="A1476" t="s">
        <v>1277</v>
      </c>
      <c r="B1476" t="s">
        <v>1278</v>
      </c>
      <c r="C1476" t="s">
        <v>41</v>
      </c>
      <c r="D1476">
        <v>48.85</v>
      </c>
      <c r="E1476">
        <v>-113.41388999999999</v>
      </c>
      <c r="K1476">
        <v>0</v>
      </c>
      <c r="O1476" t="s">
        <v>51</v>
      </c>
      <c r="Q1476" t="s">
        <v>21</v>
      </c>
    </row>
    <row r="1477" spans="1:17" x14ac:dyDescent="0.25">
      <c r="A1477" t="s">
        <v>1330</v>
      </c>
      <c r="B1477" t="s">
        <v>1331</v>
      </c>
      <c r="C1477" t="s">
        <v>41</v>
      </c>
      <c r="D1477">
        <v>49.003329999999998</v>
      </c>
      <c r="E1477">
        <v>-113.31334</v>
      </c>
      <c r="K1477">
        <v>0</v>
      </c>
      <c r="O1477" t="s">
        <v>51</v>
      </c>
      <c r="Q1477" t="s">
        <v>21</v>
      </c>
    </row>
    <row r="1478" spans="1:17" x14ac:dyDescent="0.25">
      <c r="A1478" t="s">
        <v>93</v>
      </c>
      <c r="B1478" t="s">
        <v>94</v>
      </c>
      <c r="C1478" t="s">
        <v>41</v>
      </c>
      <c r="D1478">
        <v>48.833329999999997</v>
      </c>
      <c r="E1478">
        <v>-113.41888</v>
      </c>
      <c r="K1478">
        <v>0</v>
      </c>
      <c r="O1478" t="s">
        <v>51</v>
      </c>
      <c r="Q1478" t="s">
        <v>21</v>
      </c>
    </row>
    <row r="1479" spans="1:17" x14ac:dyDescent="0.25">
      <c r="A1479" t="s">
        <v>1346</v>
      </c>
      <c r="B1479" t="s">
        <v>1347</v>
      </c>
      <c r="C1479" t="s">
        <v>19</v>
      </c>
      <c r="D1479">
        <v>40.25806</v>
      </c>
      <c r="E1479">
        <v>-104.87917</v>
      </c>
      <c r="K1479">
        <v>0</v>
      </c>
      <c r="O1479" t="s">
        <v>51</v>
      </c>
      <c r="Q1479" t="s">
        <v>21</v>
      </c>
    </row>
    <row r="1480" spans="1:17" x14ac:dyDescent="0.25">
      <c r="A1480" t="s">
        <v>1358</v>
      </c>
      <c r="B1480" t="s">
        <v>1359</v>
      </c>
      <c r="C1480" t="s">
        <v>41</v>
      </c>
      <c r="D1480">
        <v>45.460830000000001</v>
      </c>
      <c r="E1480">
        <v>-107.7486</v>
      </c>
      <c r="K1480">
        <v>0</v>
      </c>
      <c r="O1480" t="s">
        <v>51</v>
      </c>
      <c r="Q1480" t="s">
        <v>21</v>
      </c>
    </row>
    <row r="1481" spans="1:17" x14ac:dyDescent="0.25">
      <c r="A1481" t="s">
        <v>3283</v>
      </c>
      <c r="B1481" t="s">
        <v>3284</v>
      </c>
      <c r="C1481" t="s">
        <v>1622</v>
      </c>
      <c r="D1481">
        <v>40.090000000000003</v>
      </c>
      <c r="E1481">
        <v>-110.33</v>
      </c>
      <c r="F1481">
        <v>5712</v>
      </c>
      <c r="G1481" t="s">
        <v>1576</v>
      </c>
      <c r="K1481">
        <v>0</v>
      </c>
      <c r="O1481" t="s">
        <v>30</v>
      </c>
      <c r="Q1481" t="s">
        <v>2284</v>
      </c>
    </row>
    <row r="1482" spans="1:17" x14ac:dyDescent="0.25">
      <c r="A1482" t="s">
        <v>3285</v>
      </c>
      <c r="B1482" t="s">
        <v>3286</v>
      </c>
      <c r="C1482" t="s">
        <v>1622</v>
      </c>
      <c r="D1482">
        <v>40.591999999999999</v>
      </c>
      <c r="E1482">
        <v>-110.2303</v>
      </c>
      <c r="F1482">
        <v>9163.2000000000007</v>
      </c>
      <c r="G1482" t="s">
        <v>1576</v>
      </c>
      <c r="K1482">
        <v>0</v>
      </c>
      <c r="O1482" t="s">
        <v>30</v>
      </c>
      <c r="Q1482" t="s">
        <v>2284</v>
      </c>
    </row>
    <row r="1483" spans="1:17" x14ac:dyDescent="0.25">
      <c r="A1483" t="s">
        <v>3287</v>
      </c>
      <c r="B1483" t="s">
        <v>3288</v>
      </c>
      <c r="C1483" t="s">
        <v>1622</v>
      </c>
      <c r="D1483">
        <v>40.916699999999999</v>
      </c>
      <c r="E1483">
        <v>-110.5</v>
      </c>
      <c r="F1483">
        <v>10100</v>
      </c>
      <c r="G1483" t="s">
        <v>1576</v>
      </c>
      <c r="K1483">
        <v>0</v>
      </c>
      <c r="O1483" t="s">
        <v>57</v>
      </c>
      <c r="Q1483" t="s">
        <v>2284</v>
      </c>
    </row>
    <row r="1484" spans="1:17" x14ac:dyDescent="0.25">
      <c r="A1484" t="s">
        <v>3289</v>
      </c>
      <c r="B1484" t="s">
        <v>3290</v>
      </c>
      <c r="C1484" t="s">
        <v>1622</v>
      </c>
      <c r="D1484">
        <v>40.340000000000003</v>
      </c>
      <c r="E1484">
        <v>-109.37</v>
      </c>
      <c r="F1484">
        <v>5517.8</v>
      </c>
      <c r="G1484" t="s">
        <v>1576</v>
      </c>
      <c r="K1484">
        <v>0</v>
      </c>
      <c r="O1484" t="s">
        <v>30</v>
      </c>
      <c r="Q1484" t="s">
        <v>2284</v>
      </c>
    </row>
    <row r="1485" spans="1:17" x14ac:dyDescent="0.25">
      <c r="A1485" t="s">
        <v>3291</v>
      </c>
      <c r="B1485" t="s">
        <v>3292</v>
      </c>
      <c r="C1485" t="s">
        <v>19</v>
      </c>
      <c r="D1485">
        <v>40.2333</v>
      </c>
      <c r="E1485">
        <v>-105.91670000000001</v>
      </c>
      <c r="F1485">
        <v>8720</v>
      </c>
      <c r="G1485" t="s">
        <v>1576</v>
      </c>
      <c r="K1485">
        <v>0</v>
      </c>
      <c r="O1485" t="s">
        <v>57</v>
      </c>
      <c r="Q1485" t="s">
        <v>2284</v>
      </c>
    </row>
    <row r="1486" spans="1:17" x14ac:dyDescent="0.25">
      <c r="A1486" t="s">
        <v>1213</v>
      </c>
      <c r="B1486" t="s">
        <v>1214</v>
      </c>
      <c r="C1486" t="s">
        <v>19</v>
      </c>
      <c r="D1486">
        <v>40.216670000000001</v>
      </c>
      <c r="E1486">
        <v>-105.91665999999999</v>
      </c>
      <c r="F1486">
        <v>8760</v>
      </c>
      <c r="K1486">
        <v>0</v>
      </c>
      <c r="O1486" t="s">
        <v>57</v>
      </c>
      <c r="Q1486" t="s">
        <v>21</v>
      </c>
    </row>
    <row r="1487" spans="1:17" x14ac:dyDescent="0.25">
      <c r="A1487" t="s">
        <v>1309</v>
      </c>
      <c r="B1487" t="s">
        <v>1310</v>
      </c>
      <c r="C1487" t="s">
        <v>41</v>
      </c>
      <c r="D1487">
        <v>45.551110000000001</v>
      </c>
      <c r="E1487">
        <v>-109.38667</v>
      </c>
      <c r="K1487">
        <v>0</v>
      </c>
      <c r="O1487" t="s">
        <v>51</v>
      </c>
      <c r="Q1487" t="s">
        <v>21</v>
      </c>
    </row>
    <row r="1488" spans="1:17" x14ac:dyDescent="0.25">
      <c r="A1488" t="s">
        <v>1352</v>
      </c>
      <c r="B1488" t="s">
        <v>1353</v>
      </c>
      <c r="C1488" t="s">
        <v>26</v>
      </c>
      <c r="D1488">
        <v>40.373049999999999</v>
      </c>
      <c r="E1488">
        <v>-101.11694</v>
      </c>
      <c r="K1488">
        <v>0</v>
      </c>
      <c r="O1488" t="s">
        <v>51</v>
      </c>
      <c r="Q1488" t="s">
        <v>21</v>
      </c>
    </row>
    <row r="1489" spans="1:17" x14ac:dyDescent="0.25">
      <c r="A1489" t="s">
        <v>3293</v>
      </c>
      <c r="B1489" t="s">
        <v>3294</v>
      </c>
      <c r="C1489" t="s">
        <v>1622</v>
      </c>
      <c r="D1489">
        <v>40.183300000000003</v>
      </c>
      <c r="E1489">
        <v>-111.2167</v>
      </c>
      <c r="F1489">
        <v>8400</v>
      </c>
      <c r="G1489" t="s">
        <v>1576</v>
      </c>
      <c r="K1489">
        <v>0</v>
      </c>
      <c r="O1489" t="s">
        <v>57</v>
      </c>
      <c r="Q1489" t="s">
        <v>2284</v>
      </c>
    </row>
    <row r="1490" spans="1:17" x14ac:dyDescent="0.25">
      <c r="A1490" t="s">
        <v>3295</v>
      </c>
      <c r="B1490" t="s">
        <v>3296</v>
      </c>
      <c r="C1490" t="s">
        <v>1622</v>
      </c>
      <c r="D1490">
        <v>40.08</v>
      </c>
      <c r="E1490">
        <v>-111.0127</v>
      </c>
      <c r="F1490">
        <v>7602.4</v>
      </c>
      <c r="G1490" t="s">
        <v>1576</v>
      </c>
      <c r="K1490">
        <v>0</v>
      </c>
      <c r="O1490" t="s">
        <v>30</v>
      </c>
      <c r="Q1490" t="s">
        <v>2284</v>
      </c>
    </row>
    <row r="1491" spans="1:17" x14ac:dyDescent="0.25">
      <c r="A1491" t="s">
        <v>3297</v>
      </c>
      <c r="B1491" t="s">
        <v>3298</v>
      </c>
      <c r="C1491" t="s">
        <v>1622</v>
      </c>
      <c r="D1491">
        <v>40.08</v>
      </c>
      <c r="E1491">
        <v>-111.0127</v>
      </c>
      <c r="F1491">
        <v>7602.4</v>
      </c>
      <c r="G1491" t="s">
        <v>1576</v>
      </c>
      <c r="K1491">
        <v>0</v>
      </c>
      <c r="O1491" t="s">
        <v>30</v>
      </c>
      <c r="Q1491" t="s">
        <v>2284</v>
      </c>
    </row>
    <row r="1492" spans="1:17" x14ac:dyDescent="0.25">
      <c r="A1492" t="s">
        <v>3299</v>
      </c>
      <c r="B1492" t="s">
        <v>3300</v>
      </c>
      <c r="C1492" t="s">
        <v>1622</v>
      </c>
      <c r="D1492">
        <v>40.127499999999998</v>
      </c>
      <c r="E1492">
        <v>-110.7411</v>
      </c>
      <c r="G1492" t="s">
        <v>1576</v>
      </c>
      <c r="K1492">
        <v>0</v>
      </c>
      <c r="O1492" t="s">
        <v>51</v>
      </c>
      <c r="Q1492" t="s">
        <v>2284</v>
      </c>
    </row>
    <row r="1493" spans="1:17" x14ac:dyDescent="0.25">
      <c r="A1493" t="s">
        <v>3301</v>
      </c>
      <c r="B1493" t="s">
        <v>3302</v>
      </c>
      <c r="C1493" t="s">
        <v>19</v>
      </c>
      <c r="D1493">
        <v>37.4833</v>
      </c>
      <c r="E1493">
        <v>-107.63330000000001</v>
      </c>
      <c r="F1493">
        <v>11200</v>
      </c>
      <c r="G1493" t="s">
        <v>1576</v>
      </c>
      <c r="K1493">
        <v>0</v>
      </c>
      <c r="O1493" t="s">
        <v>57</v>
      </c>
      <c r="Q1493" t="s">
        <v>2284</v>
      </c>
    </row>
    <row r="1494" spans="1:17" x14ac:dyDescent="0.25">
      <c r="A1494" t="s">
        <v>1336</v>
      </c>
      <c r="B1494" t="s">
        <v>1337</v>
      </c>
      <c r="C1494" t="s">
        <v>37</v>
      </c>
      <c r="D1494">
        <v>44.716670000000001</v>
      </c>
      <c r="E1494">
        <v>-107.4</v>
      </c>
      <c r="F1494">
        <v>8880</v>
      </c>
      <c r="K1494">
        <v>0</v>
      </c>
      <c r="O1494" t="s">
        <v>57</v>
      </c>
      <c r="Q1494" t="s">
        <v>21</v>
      </c>
    </row>
    <row r="1495" spans="1:17" x14ac:dyDescent="0.25">
      <c r="A1495" t="s">
        <v>3303</v>
      </c>
      <c r="B1495" t="s">
        <v>3304</v>
      </c>
      <c r="C1495" t="s">
        <v>19</v>
      </c>
      <c r="D1495">
        <v>39.716700000000003</v>
      </c>
      <c r="E1495">
        <v>-106.16670000000001</v>
      </c>
      <c r="F1495">
        <v>9400</v>
      </c>
      <c r="G1495" t="s">
        <v>1576</v>
      </c>
      <c r="K1495">
        <v>0</v>
      </c>
      <c r="O1495" t="s">
        <v>57</v>
      </c>
      <c r="Q1495" t="s">
        <v>2284</v>
      </c>
    </row>
    <row r="1496" spans="1:17" x14ac:dyDescent="0.25">
      <c r="A1496" t="s">
        <v>1340</v>
      </c>
      <c r="B1496" t="s">
        <v>1341</v>
      </c>
      <c r="C1496" t="s">
        <v>19</v>
      </c>
      <c r="D1496">
        <v>39.716670000000001</v>
      </c>
      <c r="E1496">
        <v>-106.15</v>
      </c>
      <c r="F1496">
        <v>9400</v>
      </c>
      <c r="K1496">
        <v>0</v>
      </c>
      <c r="O1496" t="s">
        <v>57</v>
      </c>
      <c r="Q1496" t="s">
        <v>21</v>
      </c>
    </row>
    <row r="1497" spans="1:17" x14ac:dyDescent="0.25">
      <c r="A1497" t="s">
        <v>1342</v>
      </c>
      <c r="B1497" t="s">
        <v>1343</v>
      </c>
      <c r="C1497" t="s">
        <v>41</v>
      </c>
      <c r="D1497">
        <v>48.317500000000003</v>
      </c>
      <c r="E1497">
        <v>-113.35278</v>
      </c>
      <c r="F1497">
        <v>5233</v>
      </c>
      <c r="K1497">
        <v>0</v>
      </c>
      <c r="O1497" t="s">
        <v>118</v>
      </c>
      <c r="Q1497" t="s">
        <v>21</v>
      </c>
    </row>
    <row r="1498" spans="1:17" x14ac:dyDescent="0.25">
      <c r="A1498" t="s">
        <v>1313</v>
      </c>
      <c r="B1498" t="s">
        <v>1314</v>
      </c>
      <c r="C1498" t="s">
        <v>41</v>
      </c>
      <c r="D1498">
        <v>47.546939999999999</v>
      </c>
      <c r="E1498">
        <v>-112.36723000000001</v>
      </c>
      <c r="K1498">
        <v>0</v>
      </c>
      <c r="O1498" t="s">
        <v>51</v>
      </c>
      <c r="Q1498" t="s">
        <v>21</v>
      </c>
    </row>
    <row r="1499" spans="1:17" x14ac:dyDescent="0.25">
      <c r="A1499" t="s">
        <v>1324</v>
      </c>
      <c r="B1499" t="s">
        <v>1325</v>
      </c>
      <c r="C1499" t="s">
        <v>41</v>
      </c>
      <c r="D1499">
        <v>47.501669999999997</v>
      </c>
      <c r="E1499">
        <v>-111.93222</v>
      </c>
      <c r="K1499">
        <v>0</v>
      </c>
      <c r="O1499" t="s">
        <v>51</v>
      </c>
      <c r="Q1499" t="s">
        <v>21</v>
      </c>
    </row>
    <row r="1500" spans="1:17" x14ac:dyDescent="0.25">
      <c r="A1500" t="s">
        <v>1318</v>
      </c>
      <c r="B1500" t="s">
        <v>1319</v>
      </c>
      <c r="C1500" t="s">
        <v>41</v>
      </c>
      <c r="D1500">
        <v>47.50667</v>
      </c>
      <c r="E1500">
        <v>-112.28194000000001</v>
      </c>
      <c r="K1500">
        <v>0</v>
      </c>
      <c r="O1500" t="s">
        <v>51</v>
      </c>
      <c r="Q1500" t="s">
        <v>21</v>
      </c>
    </row>
    <row r="1501" spans="1:17" x14ac:dyDescent="0.25">
      <c r="A1501" t="s">
        <v>1227</v>
      </c>
      <c r="B1501" t="s">
        <v>1228</v>
      </c>
      <c r="C1501" t="s">
        <v>41</v>
      </c>
      <c r="D1501">
        <v>47.568049999999999</v>
      </c>
      <c r="E1501">
        <v>-111.55556</v>
      </c>
      <c r="K1501">
        <v>0</v>
      </c>
      <c r="O1501" t="s">
        <v>34</v>
      </c>
      <c r="Q1501" t="s">
        <v>21</v>
      </c>
    </row>
    <row r="1502" spans="1:17" x14ac:dyDescent="0.25">
      <c r="A1502" t="s">
        <v>1223</v>
      </c>
      <c r="B1502" t="s">
        <v>1224</v>
      </c>
      <c r="C1502" t="s">
        <v>41</v>
      </c>
      <c r="D1502">
        <v>47.5</v>
      </c>
      <c r="E1502">
        <v>-111.93333</v>
      </c>
      <c r="K1502">
        <v>0</v>
      </c>
      <c r="O1502" t="s">
        <v>51</v>
      </c>
      <c r="Q1502" t="s">
        <v>21</v>
      </c>
    </row>
    <row r="1503" spans="1:17" x14ac:dyDescent="0.25">
      <c r="A1503" t="s">
        <v>1030</v>
      </c>
      <c r="B1503" t="s">
        <v>1031</v>
      </c>
      <c r="C1503" t="s">
        <v>41</v>
      </c>
      <c r="D1503">
        <v>47.619439999999997</v>
      </c>
      <c r="E1503">
        <v>-112.69110999999999</v>
      </c>
      <c r="K1503">
        <v>0</v>
      </c>
      <c r="O1503" t="s">
        <v>51</v>
      </c>
      <c r="Q1503" t="s">
        <v>21</v>
      </c>
    </row>
    <row r="1504" spans="1:17" x14ac:dyDescent="0.25">
      <c r="A1504" t="s">
        <v>1317</v>
      </c>
      <c r="B1504" t="s">
        <v>1031</v>
      </c>
      <c r="C1504" t="s">
        <v>41</v>
      </c>
      <c r="D1504">
        <v>47.620829999999998</v>
      </c>
      <c r="E1504">
        <v>-112.70667</v>
      </c>
      <c r="K1504">
        <v>0</v>
      </c>
      <c r="O1504" t="s">
        <v>30</v>
      </c>
      <c r="Q1504" t="s">
        <v>21</v>
      </c>
    </row>
    <row r="1505" spans="1:17" x14ac:dyDescent="0.25">
      <c r="A1505" t="s">
        <v>1446</v>
      </c>
      <c r="B1505" t="s">
        <v>1447</v>
      </c>
      <c r="C1505" t="s">
        <v>41</v>
      </c>
      <c r="D1505">
        <v>47.526940000000003</v>
      </c>
      <c r="E1505">
        <v>-111.48472</v>
      </c>
      <c r="K1505">
        <v>0</v>
      </c>
      <c r="O1505" t="s">
        <v>51</v>
      </c>
      <c r="Q1505" t="s">
        <v>21</v>
      </c>
    </row>
    <row r="1506" spans="1:17" x14ac:dyDescent="0.25">
      <c r="A1506" t="s">
        <v>1305</v>
      </c>
      <c r="B1506" t="s">
        <v>1306</v>
      </c>
      <c r="C1506" t="s">
        <v>26</v>
      </c>
      <c r="D1506">
        <v>40.063890000000001</v>
      </c>
      <c r="E1506">
        <v>-98.322220000000002</v>
      </c>
      <c r="K1506">
        <v>0</v>
      </c>
      <c r="O1506" t="s">
        <v>34</v>
      </c>
      <c r="Q1506" t="s">
        <v>21</v>
      </c>
    </row>
    <row r="1507" spans="1:17" x14ac:dyDescent="0.25">
      <c r="A1507" t="s">
        <v>3307</v>
      </c>
      <c r="B1507" t="s">
        <v>3308</v>
      </c>
      <c r="C1507" t="s">
        <v>1622</v>
      </c>
      <c r="D1507">
        <v>40.726700000000001</v>
      </c>
      <c r="E1507">
        <v>-111.92700000000001</v>
      </c>
      <c r="G1507" t="s">
        <v>1576</v>
      </c>
      <c r="K1507">
        <v>0</v>
      </c>
      <c r="O1507" t="s">
        <v>34</v>
      </c>
      <c r="Q1507" t="s">
        <v>2284</v>
      </c>
    </row>
    <row r="1508" spans="1:17" x14ac:dyDescent="0.25">
      <c r="A1508" t="s">
        <v>1957</v>
      </c>
      <c r="B1508" t="s">
        <v>1958</v>
      </c>
      <c r="C1508" t="s">
        <v>1622</v>
      </c>
      <c r="D1508">
        <v>39.450710000000001</v>
      </c>
      <c r="E1508">
        <v>-112.63822999999999</v>
      </c>
      <c r="F1508">
        <v>1451</v>
      </c>
      <c r="G1508" t="s">
        <v>1576</v>
      </c>
      <c r="J1508" t="s">
        <v>1577</v>
      </c>
      <c r="K1508">
        <v>0</v>
      </c>
      <c r="L1508" t="s">
        <v>1578</v>
      </c>
      <c r="O1508" t="s">
        <v>151</v>
      </c>
      <c r="P1508" t="s">
        <v>1623</v>
      </c>
      <c r="Q1508" t="s">
        <v>1580</v>
      </c>
    </row>
    <row r="1509" spans="1:17" x14ac:dyDescent="0.25">
      <c r="A1509" t="s">
        <v>1420</v>
      </c>
      <c r="B1509" t="s">
        <v>1421</v>
      </c>
      <c r="C1509" t="s">
        <v>26</v>
      </c>
      <c r="D1509">
        <v>40.161389999999997</v>
      </c>
      <c r="E1509">
        <v>-101.06305999999999</v>
      </c>
      <c r="K1509">
        <v>0</v>
      </c>
      <c r="O1509" t="s">
        <v>30</v>
      </c>
      <c r="P1509" t="s">
        <v>107</v>
      </c>
      <c r="Q1509" t="s">
        <v>21</v>
      </c>
    </row>
    <row r="1510" spans="1:17" x14ac:dyDescent="0.25">
      <c r="A1510" t="s">
        <v>1338</v>
      </c>
      <c r="B1510" t="s">
        <v>1339</v>
      </c>
      <c r="C1510" t="s">
        <v>86</v>
      </c>
      <c r="D1510">
        <v>35.466670000000001</v>
      </c>
      <c r="E1510">
        <v>-100.12056</v>
      </c>
      <c r="K1510">
        <v>0</v>
      </c>
      <c r="O1510" t="s">
        <v>51</v>
      </c>
      <c r="Q1510" t="s">
        <v>21</v>
      </c>
    </row>
    <row r="1511" spans="1:17" x14ac:dyDescent="0.25">
      <c r="A1511" t="s">
        <v>1536</v>
      </c>
      <c r="B1511" t="s">
        <v>1537</v>
      </c>
      <c r="C1511" t="s">
        <v>47</v>
      </c>
      <c r="D1511">
        <v>35.422220000000003</v>
      </c>
      <c r="E1511">
        <v>-99.968890000000002</v>
      </c>
      <c r="K1511">
        <v>0</v>
      </c>
      <c r="O1511" t="s">
        <v>51</v>
      </c>
      <c r="Q1511" t="s">
        <v>21</v>
      </c>
    </row>
    <row r="1512" spans="1:17" x14ac:dyDescent="0.25">
      <c r="A1512" t="s">
        <v>1356</v>
      </c>
      <c r="B1512" t="s">
        <v>1357</v>
      </c>
      <c r="C1512" t="s">
        <v>37</v>
      </c>
      <c r="D1512">
        <v>42.4925</v>
      </c>
      <c r="E1512">
        <v>-107.13805000000001</v>
      </c>
      <c r="K1512">
        <v>0</v>
      </c>
      <c r="O1512" t="s">
        <v>51</v>
      </c>
      <c r="Q1512" t="s">
        <v>21</v>
      </c>
    </row>
    <row r="1513" spans="1:17" x14ac:dyDescent="0.25">
      <c r="A1513" t="s">
        <v>1350</v>
      </c>
      <c r="B1513" t="s">
        <v>1351</v>
      </c>
      <c r="C1513" t="s">
        <v>41</v>
      </c>
      <c r="D1513">
        <v>48.858330000000002</v>
      </c>
      <c r="E1513">
        <v>-113.42777</v>
      </c>
      <c r="K1513">
        <v>0</v>
      </c>
      <c r="O1513" t="s">
        <v>51</v>
      </c>
      <c r="Q1513" t="s">
        <v>21</v>
      </c>
    </row>
    <row r="1514" spans="1:17" x14ac:dyDescent="0.25">
      <c r="A1514" t="s">
        <v>1279</v>
      </c>
      <c r="B1514" t="s">
        <v>1280</v>
      </c>
      <c r="C1514" t="s">
        <v>41</v>
      </c>
      <c r="D1514">
        <v>48.799169999999997</v>
      </c>
      <c r="E1514">
        <v>-113.65584</v>
      </c>
      <c r="K1514">
        <v>0</v>
      </c>
      <c r="O1514" t="s">
        <v>51</v>
      </c>
      <c r="Q1514" t="s">
        <v>21</v>
      </c>
    </row>
    <row r="1515" spans="1:17" x14ac:dyDescent="0.25">
      <c r="A1515" t="s">
        <v>1354</v>
      </c>
      <c r="B1515" t="s">
        <v>1355</v>
      </c>
      <c r="C1515" t="s">
        <v>41</v>
      </c>
      <c r="D1515">
        <v>48.15</v>
      </c>
      <c r="E1515">
        <v>-112.86667</v>
      </c>
      <c r="K1515">
        <v>0</v>
      </c>
      <c r="O1515" t="s">
        <v>30</v>
      </c>
      <c r="P1515" t="s">
        <v>324</v>
      </c>
      <c r="Q1515" t="s">
        <v>21</v>
      </c>
    </row>
    <row r="1516" spans="1:17" x14ac:dyDescent="0.25">
      <c r="A1516" t="s">
        <v>1219</v>
      </c>
      <c r="B1516" t="s">
        <v>1220</v>
      </c>
      <c r="C1516" t="s">
        <v>41</v>
      </c>
      <c r="D1516">
        <v>48.830280000000002</v>
      </c>
      <c r="E1516">
        <v>-113.51639</v>
      </c>
      <c r="K1516">
        <v>0</v>
      </c>
      <c r="O1516" t="s">
        <v>51</v>
      </c>
      <c r="Q1516" t="s">
        <v>21</v>
      </c>
    </row>
    <row r="1517" spans="1:17" x14ac:dyDescent="0.25">
      <c r="A1517" t="s">
        <v>1209</v>
      </c>
      <c r="B1517" t="s">
        <v>1210</v>
      </c>
      <c r="C1517" t="s">
        <v>41</v>
      </c>
      <c r="D1517">
        <v>48.858330000000002</v>
      </c>
      <c r="E1517">
        <v>-113.42777</v>
      </c>
      <c r="K1517">
        <v>0</v>
      </c>
      <c r="O1517" t="s">
        <v>51</v>
      </c>
      <c r="Q1517" t="s">
        <v>21</v>
      </c>
    </row>
    <row r="1518" spans="1:17" x14ac:dyDescent="0.25">
      <c r="A1518" t="s">
        <v>1360</v>
      </c>
      <c r="B1518" t="s">
        <v>1361</v>
      </c>
      <c r="C1518" t="s">
        <v>37</v>
      </c>
      <c r="D1518">
        <v>44.483330000000002</v>
      </c>
      <c r="E1518">
        <v>-110.15</v>
      </c>
      <c r="F1518">
        <v>8420</v>
      </c>
      <c r="K1518">
        <v>0</v>
      </c>
      <c r="O1518" t="s">
        <v>57</v>
      </c>
      <c r="Q1518" t="s">
        <v>21</v>
      </c>
    </row>
    <row r="1519" spans="1:17" x14ac:dyDescent="0.25">
      <c r="A1519" t="s">
        <v>1362</v>
      </c>
      <c r="B1519" t="s">
        <v>1363</v>
      </c>
      <c r="C1519" t="s">
        <v>37</v>
      </c>
      <c r="D1519">
        <v>44.466670000000001</v>
      </c>
      <c r="E1519">
        <v>-110.03333000000001</v>
      </c>
      <c r="F1519">
        <v>7120</v>
      </c>
      <c r="K1519">
        <v>0</v>
      </c>
      <c r="O1519" t="s">
        <v>57</v>
      </c>
      <c r="Q1519" t="s">
        <v>21</v>
      </c>
    </row>
    <row r="1520" spans="1:17" x14ac:dyDescent="0.25">
      <c r="A1520" t="s">
        <v>1368</v>
      </c>
      <c r="B1520" t="s">
        <v>1369</v>
      </c>
      <c r="C1520" t="s">
        <v>41</v>
      </c>
      <c r="D1520">
        <v>48.03472</v>
      </c>
      <c r="E1520">
        <v>-112.35250000000001</v>
      </c>
      <c r="K1520">
        <v>0</v>
      </c>
      <c r="O1520" t="s">
        <v>51</v>
      </c>
      <c r="Q1520" t="s">
        <v>21</v>
      </c>
    </row>
    <row r="1521" spans="1:17" x14ac:dyDescent="0.25">
      <c r="A1521" t="s">
        <v>3309</v>
      </c>
      <c r="B1521" t="s">
        <v>3310</v>
      </c>
      <c r="C1521" t="s">
        <v>19</v>
      </c>
      <c r="D1521">
        <v>38.490699999999997</v>
      </c>
      <c r="E1521">
        <v>-106.36239999999999</v>
      </c>
      <c r="F1521">
        <v>9330</v>
      </c>
      <c r="G1521" t="s">
        <v>1576</v>
      </c>
      <c r="K1521">
        <v>0</v>
      </c>
      <c r="O1521" t="s">
        <v>30</v>
      </c>
      <c r="Q1521" t="s">
        <v>2284</v>
      </c>
    </row>
    <row r="1522" spans="1:17" x14ac:dyDescent="0.25">
      <c r="A1522" t="s">
        <v>3313</v>
      </c>
      <c r="B1522" t="s">
        <v>3314</v>
      </c>
      <c r="C1522" t="s">
        <v>19</v>
      </c>
      <c r="D1522">
        <v>38.860300000000002</v>
      </c>
      <c r="E1522">
        <v>-106.56610000000001</v>
      </c>
      <c r="F1522">
        <v>9340</v>
      </c>
      <c r="G1522" t="s">
        <v>1576</v>
      </c>
      <c r="K1522">
        <v>0</v>
      </c>
      <c r="O1522" t="s">
        <v>51</v>
      </c>
      <c r="Q1522" t="s">
        <v>2284</v>
      </c>
    </row>
    <row r="1523" spans="1:17" x14ac:dyDescent="0.25">
      <c r="A1523" t="s">
        <v>3311</v>
      </c>
      <c r="B1523" t="s">
        <v>3312</v>
      </c>
      <c r="C1523" t="s">
        <v>19</v>
      </c>
      <c r="D1523">
        <v>38.664400000000001</v>
      </c>
      <c r="E1523">
        <v>-106.8447</v>
      </c>
      <c r="F1523">
        <v>8010.76</v>
      </c>
      <c r="G1523" t="s">
        <v>1576</v>
      </c>
      <c r="K1523">
        <v>0</v>
      </c>
      <c r="O1523" t="s">
        <v>51</v>
      </c>
      <c r="Q1523" t="s">
        <v>2284</v>
      </c>
    </row>
    <row r="1524" spans="1:17" x14ac:dyDescent="0.25">
      <c r="A1524" t="s">
        <v>3315</v>
      </c>
      <c r="B1524" t="s">
        <v>3316</v>
      </c>
      <c r="C1524" t="s">
        <v>19</v>
      </c>
      <c r="D1524">
        <v>38.529200000000003</v>
      </c>
      <c r="E1524">
        <v>-107.64830000000001</v>
      </c>
      <c r="F1524">
        <v>6526.06</v>
      </c>
      <c r="G1524" t="s">
        <v>1576</v>
      </c>
      <c r="K1524">
        <v>0</v>
      </c>
      <c r="O1524" t="s">
        <v>51</v>
      </c>
      <c r="Q1524" t="s">
        <v>2284</v>
      </c>
    </row>
    <row r="1525" spans="1:17" x14ac:dyDescent="0.25">
      <c r="A1525" t="s">
        <v>3317</v>
      </c>
      <c r="B1525" t="s">
        <v>3318</v>
      </c>
      <c r="C1525" t="s">
        <v>2283</v>
      </c>
      <c r="D1525">
        <v>36.307200000000002</v>
      </c>
      <c r="E1525">
        <v>-108.45610000000001</v>
      </c>
      <c r="F1525">
        <v>0</v>
      </c>
      <c r="G1525" t="s">
        <v>1576</v>
      </c>
      <c r="K1525">
        <v>0</v>
      </c>
      <c r="O1525" t="s">
        <v>51</v>
      </c>
      <c r="Q1525" t="s">
        <v>2284</v>
      </c>
    </row>
    <row r="1526" spans="1:17" x14ac:dyDescent="0.25">
      <c r="A1526" t="s">
        <v>3319</v>
      </c>
      <c r="B1526" t="s">
        <v>3320</v>
      </c>
      <c r="C1526" t="s">
        <v>1622</v>
      </c>
      <c r="D1526">
        <v>41.792999999999999</v>
      </c>
      <c r="E1526">
        <v>-111.5461</v>
      </c>
      <c r="F1526">
        <v>7406</v>
      </c>
      <c r="G1526" t="s">
        <v>1576</v>
      </c>
      <c r="K1526">
        <v>0</v>
      </c>
      <c r="O1526" t="s">
        <v>57</v>
      </c>
      <c r="Q1526" t="s">
        <v>2284</v>
      </c>
    </row>
    <row r="1527" spans="1:17" x14ac:dyDescent="0.25">
      <c r="A1527" t="s">
        <v>1406</v>
      </c>
      <c r="B1527" t="s">
        <v>1407</v>
      </c>
      <c r="C1527" t="s">
        <v>41</v>
      </c>
      <c r="D1527">
        <v>44.783329999999999</v>
      </c>
      <c r="E1527">
        <v>-111.7</v>
      </c>
      <c r="F1527">
        <v>8000</v>
      </c>
      <c r="K1527">
        <v>0</v>
      </c>
      <c r="O1527" t="s">
        <v>57</v>
      </c>
      <c r="Q1527" t="s">
        <v>21</v>
      </c>
    </row>
    <row r="1528" spans="1:17" x14ac:dyDescent="0.25">
      <c r="A1528" t="s">
        <v>1973</v>
      </c>
      <c r="B1528" t="s">
        <v>1974</v>
      </c>
      <c r="C1528" t="s">
        <v>410</v>
      </c>
      <c r="D1528">
        <v>43.870399999999997</v>
      </c>
      <c r="E1528">
        <v>-112.26394000000001</v>
      </c>
      <c r="F1528">
        <v>1478</v>
      </c>
      <c r="G1528" t="s">
        <v>1576</v>
      </c>
      <c r="H1528" s="1">
        <v>41711</v>
      </c>
      <c r="J1528" t="s">
        <v>1577</v>
      </c>
      <c r="K1528">
        <v>0</v>
      </c>
      <c r="L1528" t="s">
        <v>1578</v>
      </c>
      <c r="O1528" t="s">
        <v>151</v>
      </c>
      <c r="P1528" t="s">
        <v>1585</v>
      </c>
      <c r="Q1528" t="s">
        <v>1580</v>
      </c>
    </row>
    <row r="1529" spans="1:17" x14ac:dyDescent="0.25">
      <c r="A1529" t="s">
        <v>1416</v>
      </c>
      <c r="B1529" t="s">
        <v>1417</v>
      </c>
      <c r="C1529" t="s">
        <v>41</v>
      </c>
      <c r="D1529">
        <v>47.932499999999997</v>
      </c>
      <c r="E1529">
        <v>-111.56361</v>
      </c>
      <c r="K1529">
        <v>0</v>
      </c>
      <c r="O1529" t="s">
        <v>51</v>
      </c>
      <c r="Q1529" t="s">
        <v>21</v>
      </c>
    </row>
    <row r="1530" spans="1:17" x14ac:dyDescent="0.25">
      <c r="A1530" t="s">
        <v>1380</v>
      </c>
      <c r="B1530" t="s">
        <v>1381</v>
      </c>
      <c r="C1530" t="s">
        <v>41</v>
      </c>
      <c r="D1530">
        <v>47.811390000000003</v>
      </c>
      <c r="E1530">
        <v>-112.08862000000001</v>
      </c>
      <c r="K1530">
        <v>0</v>
      </c>
      <c r="O1530" t="s">
        <v>51</v>
      </c>
      <c r="Q1530" t="s">
        <v>21</v>
      </c>
    </row>
    <row r="1531" spans="1:17" x14ac:dyDescent="0.25">
      <c r="A1531" t="s">
        <v>1408</v>
      </c>
      <c r="B1531" t="s">
        <v>1409</v>
      </c>
      <c r="C1531" t="s">
        <v>41</v>
      </c>
      <c r="D1531">
        <v>47.883049999999997</v>
      </c>
      <c r="E1531">
        <v>-112.61111</v>
      </c>
      <c r="K1531">
        <v>0</v>
      </c>
      <c r="O1531" t="s">
        <v>51</v>
      </c>
      <c r="Q1531" t="s">
        <v>21</v>
      </c>
    </row>
    <row r="1532" spans="1:17" x14ac:dyDescent="0.25">
      <c r="A1532" t="s">
        <v>1376</v>
      </c>
      <c r="B1532" t="s">
        <v>1377</v>
      </c>
      <c r="C1532" t="s">
        <v>41</v>
      </c>
      <c r="D1532">
        <v>47.930280000000003</v>
      </c>
      <c r="E1532">
        <v>-111.55195000000001</v>
      </c>
      <c r="K1532">
        <v>0</v>
      </c>
      <c r="O1532" t="s">
        <v>51</v>
      </c>
      <c r="Q1532" t="s">
        <v>21</v>
      </c>
    </row>
    <row r="1533" spans="1:17" x14ac:dyDescent="0.25">
      <c r="A1533" t="s">
        <v>1963</v>
      </c>
      <c r="B1533" t="s">
        <v>1964</v>
      </c>
      <c r="C1533" t="s">
        <v>410</v>
      </c>
      <c r="D1533">
        <v>43.927048589999998</v>
      </c>
      <c r="E1533">
        <v>-111.613803</v>
      </c>
      <c r="F1533">
        <v>4972</v>
      </c>
      <c r="G1533" t="s">
        <v>1576</v>
      </c>
      <c r="H1533" s="2">
        <v>0</v>
      </c>
      <c r="I1533">
        <v>13055000</v>
      </c>
      <c r="J1533" t="s">
        <v>1594</v>
      </c>
      <c r="K1533">
        <v>0</v>
      </c>
      <c r="L1533" t="s">
        <v>1595</v>
      </c>
      <c r="O1533" t="s">
        <v>51</v>
      </c>
      <c r="P1533" t="s">
        <v>1596</v>
      </c>
      <c r="Q1533" t="s">
        <v>1580</v>
      </c>
    </row>
    <row r="1534" spans="1:17" x14ac:dyDescent="0.25">
      <c r="A1534" t="s">
        <v>1412</v>
      </c>
      <c r="B1534" t="s">
        <v>1413</v>
      </c>
      <c r="C1534" t="s">
        <v>41</v>
      </c>
      <c r="D1534">
        <v>47.900559999999999</v>
      </c>
      <c r="E1534">
        <v>-112.15971999999999</v>
      </c>
      <c r="F1534">
        <v>3854</v>
      </c>
      <c r="K1534">
        <v>0</v>
      </c>
      <c r="O1534" t="s">
        <v>151</v>
      </c>
      <c r="Q1534" t="s">
        <v>21</v>
      </c>
    </row>
    <row r="1535" spans="1:17" x14ac:dyDescent="0.25">
      <c r="A1535" t="s">
        <v>3321</v>
      </c>
      <c r="B1535" t="s">
        <v>3322</v>
      </c>
      <c r="C1535" t="s">
        <v>1622</v>
      </c>
      <c r="D1535">
        <v>40.616700000000002</v>
      </c>
      <c r="E1535">
        <v>-111.5333</v>
      </c>
      <c r="F1535">
        <v>9200</v>
      </c>
      <c r="G1535" t="s">
        <v>1576</v>
      </c>
      <c r="K1535">
        <v>0</v>
      </c>
      <c r="O1535" t="s">
        <v>57</v>
      </c>
      <c r="Q1535" t="s">
        <v>2284</v>
      </c>
    </row>
    <row r="1536" spans="1:17" x14ac:dyDescent="0.25">
      <c r="A1536" t="s">
        <v>1370</v>
      </c>
      <c r="B1536" t="s">
        <v>1371</v>
      </c>
      <c r="C1536" t="s">
        <v>26</v>
      </c>
      <c r="D1536">
        <v>40.090829999999997</v>
      </c>
      <c r="E1536">
        <v>-98.765270000000001</v>
      </c>
      <c r="K1536">
        <v>0</v>
      </c>
      <c r="O1536" t="s">
        <v>51</v>
      </c>
      <c r="Q1536" t="s">
        <v>21</v>
      </c>
    </row>
    <row r="1537" spans="1:17" x14ac:dyDescent="0.25">
      <c r="A1537" t="s">
        <v>1384</v>
      </c>
      <c r="B1537" t="s">
        <v>1385</v>
      </c>
      <c r="C1537" t="s">
        <v>37</v>
      </c>
      <c r="D1537">
        <v>42.634450000000001</v>
      </c>
      <c r="E1537">
        <v>-108.97305</v>
      </c>
      <c r="F1537">
        <v>7980</v>
      </c>
      <c r="K1537">
        <v>0</v>
      </c>
      <c r="O1537" t="s">
        <v>57</v>
      </c>
      <c r="Q1537" t="s">
        <v>21</v>
      </c>
    </row>
    <row r="1538" spans="1:17" x14ac:dyDescent="0.25">
      <c r="A1538" t="s">
        <v>1388</v>
      </c>
      <c r="B1538" t="s">
        <v>1389</v>
      </c>
      <c r="C1538" t="s">
        <v>37</v>
      </c>
      <c r="D1538">
        <v>44.8</v>
      </c>
      <c r="E1538">
        <v>-107.4</v>
      </c>
      <c r="F1538">
        <v>6870</v>
      </c>
      <c r="K1538">
        <v>0</v>
      </c>
      <c r="O1538" t="s">
        <v>57</v>
      </c>
      <c r="Q1538" t="s">
        <v>21</v>
      </c>
    </row>
    <row r="1539" spans="1:17" x14ac:dyDescent="0.25">
      <c r="A1539" t="s">
        <v>1382</v>
      </c>
      <c r="B1539" t="s">
        <v>1383</v>
      </c>
      <c r="C1539" t="s">
        <v>37</v>
      </c>
      <c r="D1539">
        <v>43.859439999999999</v>
      </c>
      <c r="E1539">
        <v>-108.13278</v>
      </c>
      <c r="K1539">
        <v>0</v>
      </c>
      <c r="O1539" t="s">
        <v>34</v>
      </c>
      <c r="Q1539" t="s">
        <v>21</v>
      </c>
    </row>
    <row r="1540" spans="1:17" x14ac:dyDescent="0.25">
      <c r="A1540" t="s">
        <v>1372</v>
      </c>
      <c r="B1540" t="s">
        <v>1373</v>
      </c>
      <c r="C1540" t="s">
        <v>37</v>
      </c>
      <c r="D1540">
        <v>44.033329999999999</v>
      </c>
      <c r="E1540">
        <v>-109.18333</v>
      </c>
      <c r="F1540">
        <v>7950</v>
      </c>
      <c r="K1540">
        <v>0</v>
      </c>
      <c r="O1540" t="s">
        <v>57</v>
      </c>
      <c r="Q1540" t="s">
        <v>21</v>
      </c>
    </row>
    <row r="1541" spans="1:17" x14ac:dyDescent="0.25">
      <c r="A1541" t="s">
        <v>3323</v>
      </c>
      <c r="B1541" t="s">
        <v>3324</v>
      </c>
      <c r="C1541" t="s">
        <v>1622</v>
      </c>
      <c r="D1541">
        <v>40.433300000000003</v>
      </c>
      <c r="E1541">
        <v>-111.61669999999999</v>
      </c>
      <c r="F1541">
        <v>8140</v>
      </c>
      <c r="G1541" t="s">
        <v>1576</v>
      </c>
      <c r="K1541">
        <v>0</v>
      </c>
      <c r="O1541" t="s">
        <v>57</v>
      </c>
      <c r="Q1541" t="s">
        <v>2284</v>
      </c>
    </row>
    <row r="1542" spans="1:17" x14ac:dyDescent="0.25">
      <c r="A1542" t="s">
        <v>1386</v>
      </c>
      <c r="B1542" t="s">
        <v>1387</v>
      </c>
      <c r="C1542" t="s">
        <v>41</v>
      </c>
      <c r="D1542">
        <v>46.35</v>
      </c>
      <c r="E1542">
        <v>-111.85</v>
      </c>
      <c r="F1542">
        <v>6880</v>
      </c>
      <c r="K1542">
        <v>0</v>
      </c>
      <c r="O1542" t="s">
        <v>57</v>
      </c>
      <c r="Q1542" t="s">
        <v>21</v>
      </c>
    </row>
    <row r="1543" spans="1:17" x14ac:dyDescent="0.25">
      <c r="A1543" t="s">
        <v>1394</v>
      </c>
      <c r="B1543" t="s">
        <v>1395</v>
      </c>
      <c r="C1543" t="s">
        <v>37</v>
      </c>
      <c r="D1543">
        <v>43.75</v>
      </c>
      <c r="E1543">
        <v>-110.08334000000001</v>
      </c>
      <c r="F1543">
        <v>9580</v>
      </c>
      <c r="K1543">
        <v>0</v>
      </c>
      <c r="O1543" t="s">
        <v>57</v>
      </c>
      <c r="Q1543" t="s">
        <v>21</v>
      </c>
    </row>
    <row r="1544" spans="1:17" x14ac:dyDescent="0.25">
      <c r="A1544" t="s">
        <v>3325</v>
      </c>
      <c r="B1544" t="s">
        <v>3326</v>
      </c>
      <c r="C1544" t="s">
        <v>2283</v>
      </c>
      <c r="D1544">
        <v>36.473999999999997</v>
      </c>
      <c r="E1544">
        <v>-105.1947</v>
      </c>
      <c r="F1544">
        <v>10180</v>
      </c>
      <c r="G1544" t="s">
        <v>1576</v>
      </c>
      <c r="K1544">
        <v>0</v>
      </c>
      <c r="O1544" t="s">
        <v>57</v>
      </c>
      <c r="Q1544" t="s">
        <v>2284</v>
      </c>
    </row>
    <row r="1545" spans="1:17" x14ac:dyDescent="0.25">
      <c r="A1545" t="s">
        <v>3327</v>
      </c>
      <c r="B1545" t="s">
        <v>3328</v>
      </c>
      <c r="C1545" t="s">
        <v>19</v>
      </c>
      <c r="D1545">
        <v>38.521700000000003</v>
      </c>
      <c r="E1545">
        <v>-106.94029999999999</v>
      </c>
      <c r="F1545">
        <v>7628.58</v>
      </c>
      <c r="G1545" t="s">
        <v>1576</v>
      </c>
      <c r="K1545">
        <v>0</v>
      </c>
      <c r="O1545" t="s">
        <v>51</v>
      </c>
      <c r="Q1545" t="s">
        <v>2284</v>
      </c>
    </row>
    <row r="1546" spans="1:17" x14ac:dyDescent="0.25">
      <c r="A1546" t="s">
        <v>3329</v>
      </c>
      <c r="B1546" t="s">
        <v>3330</v>
      </c>
      <c r="C1546" t="s">
        <v>19</v>
      </c>
      <c r="D1546">
        <v>38.497199999999999</v>
      </c>
      <c r="E1546">
        <v>-106.7256</v>
      </c>
      <c r="F1546">
        <v>7910</v>
      </c>
      <c r="G1546" t="s">
        <v>1576</v>
      </c>
      <c r="K1546">
        <v>0</v>
      </c>
      <c r="O1546" t="s">
        <v>51</v>
      </c>
      <c r="Q1546" t="s">
        <v>2284</v>
      </c>
    </row>
    <row r="1547" spans="1:17" x14ac:dyDescent="0.25">
      <c r="A1547" t="s">
        <v>3331</v>
      </c>
      <c r="B1547" t="s">
        <v>3332</v>
      </c>
      <c r="C1547" t="s">
        <v>19</v>
      </c>
      <c r="D1547">
        <v>38.411700000000003</v>
      </c>
      <c r="E1547">
        <v>-106.4222</v>
      </c>
      <c r="F1547">
        <v>8416</v>
      </c>
      <c r="G1547" t="s">
        <v>1576</v>
      </c>
      <c r="K1547">
        <v>0</v>
      </c>
      <c r="O1547" t="s">
        <v>51</v>
      </c>
      <c r="Q1547" t="s">
        <v>2284</v>
      </c>
    </row>
    <row r="1548" spans="1:17" x14ac:dyDescent="0.25">
      <c r="A1548" t="s">
        <v>1410</v>
      </c>
      <c r="B1548" t="s">
        <v>1411</v>
      </c>
      <c r="C1548" t="s">
        <v>41</v>
      </c>
      <c r="D1548">
        <v>45.141390000000001</v>
      </c>
      <c r="E1548">
        <v>-106.77084000000001</v>
      </c>
      <c r="K1548">
        <v>0</v>
      </c>
      <c r="O1548" t="s">
        <v>51</v>
      </c>
      <c r="Q1548" t="s">
        <v>21</v>
      </c>
    </row>
    <row r="1549" spans="1:17" x14ac:dyDescent="0.25">
      <c r="A1549" t="s">
        <v>938</v>
      </c>
      <c r="B1549" t="s">
        <v>939</v>
      </c>
      <c r="C1549" t="s">
        <v>41</v>
      </c>
      <c r="D1549">
        <v>46.345550000000003</v>
      </c>
      <c r="E1549">
        <v>-105.80278</v>
      </c>
      <c r="K1549">
        <v>0</v>
      </c>
      <c r="O1549" t="s">
        <v>51</v>
      </c>
      <c r="Q1549" t="s">
        <v>21</v>
      </c>
    </row>
    <row r="1550" spans="1:17" x14ac:dyDescent="0.25">
      <c r="A1550" t="s">
        <v>1418</v>
      </c>
      <c r="B1550" t="s">
        <v>1419</v>
      </c>
      <c r="C1550" t="s">
        <v>41</v>
      </c>
      <c r="D1550">
        <v>45.008890000000001</v>
      </c>
      <c r="E1550">
        <v>-106.83556</v>
      </c>
      <c r="K1550">
        <v>0</v>
      </c>
      <c r="O1550" t="s">
        <v>51</v>
      </c>
      <c r="Q1550" t="s">
        <v>21</v>
      </c>
    </row>
    <row r="1551" spans="1:17" x14ac:dyDescent="0.25">
      <c r="A1551" t="s">
        <v>3333</v>
      </c>
      <c r="B1551" t="s">
        <v>3334</v>
      </c>
      <c r="C1551" t="s">
        <v>1622</v>
      </c>
      <c r="D1551">
        <v>41.9</v>
      </c>
      <c r="E1551">
        <v>-111.63330000000001</v>
      </c>
      <c r="F1551">
        <v>8400</v>
      </c>
      <c r="G1551" t="s">
        <v>1576</v>
      </c>
      <c r="K1551">
        <v>0</v>
      </c>
      <c r="O1551" t="s">
        <v>57</v>
      </c>
      <c r="Q1551" t="s">
        <v>2284</v>
      </c>
    </row>
    <row r="1552" spans="1:17" x14ac:dyDescent="0.25">
      <c r="A1552" t="s">
        <v>1402</v>
      </c>
      <c r="B1552" t="s">
        <v>1403</v>
      </c>
      <c r="C1552" t="s">
        <v>41</v>
      </c>
      <c r="D1552">
        <v>46.122219999999999</v>
      </c>
      <c r="E1552">
        <v>-111.49472</v>
      </c>
      <c r="F1552">
        <v>4058</v>
      </c>
      <c r="K1552">
        <v>0</v>
      </c>
      <c r="O1552" t="s">
        <v>151</v>
      </c>
      <c r="Q1552" t="s">
        <v>21</v>
      </c>
    </row>
    <row r="1553" spans="1:17" x14ac:dyDescent="0.25">
      <c r="A1553" t="s">
        <v>3335</v>
      </c>
      <c r="B1553" t="s">
        <v>3336</v>
      </c>
      <c r="C1553" t="s">
        <v>19</v>
      </c>
      <c r="D1553">
        <v>40.533299999999997</v>
      </c>
      <c r="E1553">
        <v>-106.6833</v>
      </c>
      <c r="F1553">
        <v>10500</v>
      </c>
      <c r="G1553" t="s">
        <v>1576</v>
      </c>
      <c r="K1553">
        <v>0</v>
      </c>
      <c r="O1553" t="s">
        <v>57</v>
      </c>
      <c r="Q1553" t="s">
        <v>2284</v>
      </c>
    </row>
    <row r="1554" spans="1:17" x14ac:dyDescent="0.25">
      <c r="A1554" t="s">
        <v>1404</v>
      </c>
      <c r="B1554" t="s">
        <v>1405</v>
      </c>
      <c r="C1554" t="s">
        <v>19</v>
      </c>
      <c r="D1554">
        <v>40.533329999999999</v>
      </c>
      <c r="E1554">
        <v>-106.66665999999999</v>
      </c>
      <c r="F1554">
        <v>10500</v>
      </c>
      <c r="K1554">
        <v>0</v>
      </c>
      <c r="O1554" t="s">
        <v>57</v>
      </c>
      <c r="Q1554" t="s">
        <v>21</v>
      </c>
    </row>
    <row r="1555" spans="1:17" x14ac:dyDescent="0.25">
      <c r="A1555" t="s">
        <v>2247</v>
      </c>
      <c r="B1555" t="s">
        <v>2248</v>
      </c>
      <c r="C1555" t="s">
        <v>1987</v>
      </c>
      <c r="D1555">
        <v>34.15</v>
      </c>
      <c r="E1555">
        <v>-114.26</v>
      </c>
      <c r="G1555" t="s">
        <v>1576</v>
      </c>
      <c r="K1555">
        <v>0</v>
      </c>
      <c r="O1555" t="s">
        <v>20</v>
      </c>
      <c r="Q1555" t="s">
        <v>1988</v>
      </c>
    </row>
    <row r="1556" spans="1:17" x14ac:dyDescent="0.25">
      <c r="A1556" t="s">
        <v>1430</v>
      </c>
      <c r="B1556" t="s">
        <v>1431</v>
      </c>
      <c r="C1556" t="s">
        <v>37</v>
      </c>
      <c r="D1556">
        <v>42.7</v>
      </c>
      <c r="E1556">
        <v>-108.9</v>
      </c>
      <c r="F1556">
        <v>8700</v>
      </c>
      <c r="K1556">
        <v>0</v>
      </c>
      <c r="O1556" t="s">
        <v>57</v>
      </c>
      <c r="Q1556" t="s">
        <v>21</v>
      </c>
    </row>
    <row r="1557" spans="1:17" x14ac:dyDescent="0.25">
      <c r="A1557" t="s">
        <v>3337</v>
      </c>
      <c r="B1557" t="s">
        <v>3338</v>
      </c>
      <c r="C1557" t="s">
        <v>19</v>
      </c>
      <c r="D1557">
        <v>38.854700000000001</v>
      </c>
      <c r="E1557">
        <v>-107.92919999999999</v>
      </c>
      <c r="G1557" t="s">
        <v>1576</v>
      </c>
      <c r="K1557">
        <v>0</v>
      </c>
      <c r="O1557" t="s">
        <v>20</v>
      </c>
      <c r="Q1557" t="s">
        <v>2284</v>
      </c>
    </row>
    <row r="1558" spans="1:17" x14ac:dyDescent="0.25">
      <c r="A1558" t="s">
        <v>3339</v>
      </c>
      <c r="B1558" t="s">
        <v>3340</v>
      </c>
      <c r="C1558" t="s">
        <v>19</v>
      </c>
      <c r="D1558">
        <v>40</v>
      </c>
      <c r="E1558">
        <v>-107.2333</v>
      </c>
      <c r="F1558">
        <v>9700</v>
      </c>
      <c r="G1558" t="s">
        <v>1576</v>
      </c>
      <c r="K1558">
        <v>0</v>
      </c>
      <c r="O1558" t="s">
        <v>57</v>
      </c>
      <c r="Q1558" t="s">
        <v>2284</v>
      </c>
    </row>
    <row r="1559" spans="1:17" x14ac:dyDescent="0.25">
      <c r="A1559" t="s">
        <v>3341</v>
      </c>
      <c r="B1559" t="s">
        <v>3342</v>
      </c>
      <c r="C1559" t="s">
        <v>1622</v>
      </c>
      <c r="D1559">
        <v>40.683300000000003</v>
      </c>
      <c r="E1559">
        <v>-110.95</v>
      </c>
      <c r="F1559">
        <v>9960</v>
      </c>
      <c r="G1559" t="s">
        <v>1576</v>
      </c>
      <c r="K1559">
        <v>0</v>
      </c>
      <c r="O1559" t="s">
        <v>57</v>
      </c>
      <c r="Q1559" t="s">
        <v>2284</v>
      </c>
    </row>
    <row r="1560" spans="1:17" x14ac:dyDescent="0.25">
      <c r="A1560" t="s">
        <v>3343</v>
      </c>
      <c r="B1560" t="s">
        <v>3344</v>
      </c>
      <c r="C1560" t="s">
        <v>19</v>
      </c>
      <c r="D1560">
        <v>37.35</v>
      </c>
      <c r="E1560">
        <v>-105.2333</v>
      </c>
      <c r="F1560">
        <v>10860</v>
      </c>
      <c r="G1560" t="s">
        <v>1576</v>
      </c>
      <c r="K1560">
        <v>0</v>
      </c>
      <c r="O1560" t="s">
        <v>57</v>
      </c>
      <c r="Q1560" t="s">
        <v>2284</v>
      </c>
    </row>
    <row r="1561" spans="1:17" x14ac:dyDescent="0.25">
      <c r="A1561" t="s">
        <v>3520</v>
      </c>
      <c r="B1561" t="s">
        <v>3521</v>
      </c>
      <c r="C1561" t="s">
        <v>1643</v>
      </c>
      <c r="D1561">
        <v>40.801000000000002</v>
      </c>
      <c r="E1561">
        <v>-122.762</v>
      </c>
      <c r="F1561">
        <v>2370</v>
      </c>
      <c r="G1561" t="s">
        <v>1589</v>
      </c>
      <c r="K1561">
        <v>0</v>
      </c>
      <c r="O1561" t="s">
        <v>30</v>
      </c>
      <c r="Q1561" t="s">
        <v>3478</v>
      </c>
    </row>
    <row r="1562" spans="1:17" x14ac:dyDescent="0.25">
      <c r="A1562" t="s">
        <v>3345</v>
      </c>
      <c r="B1562" t="s">
        <v>3346</v>
      </c>
      <c r="C1562" t="s">
        <v>37</v>
      </c>
      <c r="D1562">
        <v>42.7667</v>
      </c>
      <c r="E1562">
        <v>-110.58329999999999</v>
      </c>
      <c r="F1562">
        <v>8500</v>
      </c>
      <c r="G1562" t="s">
        <v>1576</v>
      </c>
      <c r="K1562">
        <v>0</v>
      </c>
      <c r="O1562" t="s">
        <v>57</v>
      </c>
      <c r="Q1562" t="s">
        <v>2284</v>
      </c>
    </row>
    <row r="1563" spans="1:17" x14ac:dyDescent="0.25">
      <c r="A1563" t="s">
        <v>1971</v>
      </c>
      <c r="B1563" t="s">
        <v>1972</v>
      </c>
      <c r="C1563" t="s">
        <v>1622</v>
      </c>
      <c r="D1563">
        <v>37.627465999999998</v>
      </c>
      <c r="E1563">
        <v>-112.04641599999999</v>
      </c>
      <c r="F1563">
        <v>1893</v>
      </c>
      <c r="G1563" t="s">
        <v>1576</v>
      </c>
      <c r="H1563" s="1">
        <v>42075</v>
      </c>
      <c r="J1563" t="s">
        <v>1577</v>
      </c>
      <c r="K1563">
        <v>0</v>
      </c>
      <c r="L1563" t="s">
        <v>1578</v>
      </c>
      <c r="O1563" t="s">
        <v>151</v>
      </c>
      <c r="P1563" t="s">
        <v>1585</v>
      </c>
      <c r="Q1563" t="s">
        <v>1580</v>
      </c>
    </row>
    <row r="1564" spans="1:17" x14ac:dyDescent="0.25">
      <c r="A1564" t="s">
        <v>3347</v>
      </c>
      <c r="B1564" t="s">
        <v>3348</v>
      </c>
      <c r="C1564" t="s">
        <v>1622</v>
      </c>
      <c r="D1564">
        <v>40.7333</v>
      </c>
      <c r="E1564">
        <v>-109.66670000000001</v>
      </c>
      <c r="F1564">
        <v>9400</v>
      </c>
      <c r="G1564" t="s">
        <v>1576</v>
      </c>
      <c r="K1564">
        <v>0</v>
      </c>
      <c r="O1564" t="s">
        <v>57</v>
      </c>
      <c r="Q1564" t="s">
        <v>2284</v>
      </c>
    </row>
    <row r="1565" spans="1:17" x14ac:dyDescent="0.25">
      <c r="A1565" t="s">
        <v>1374</v>
      </c>
      <c r="B1565" t="s">
        <v>1375</v>
      </c>
      <c r="C1565" t="s">
        <v>26</v>
      </c>
      <c r="D1565">
        <v>41.933329999999998</v>
      </c>
      <c r="E1565">
        <v>-103.68694000000001</v>
      </c>
      <c r="K1565">
        <v>0</v>
      </c>
      <c r="O1565" t="s">
        <v>20</v>
      </c>
      <c r="Q1565" t="s">
        <v>21</v>
      </c>
    </row>
    <row r="1566" spans="1:17" x14ac:dyDescent="0.25">
      <c r="A1566" t="s">
        <v>3522</v>
      </c>
      <c r="B1566" t="s">
        <v>3523</v>
      </c>
      <c r="C1566" t="s">
        <v>1643</v>
      </c>
      <c r="D1566">
        <v>37.875</v>
      </c>
      <c r="E1566">
        <v>-120.60299999999999</v>
      </c>
      <c r="F1566">
        <v>515</v>
      </c>
      <c r="G1566" t="s">
        <v>1589</v>
      </c>
      <c r="K1566">
        <v>0</v>
      </c>
      <c r="O1566" t="s">
        <v>30</v>
      </c>
      <c r="Q1566" t="s">
        <v>3478</v>
      </c>
    </row>
    <row r="1567" spans="1:17" x14ac:dyDescent="0.25">
      <c r="A1567" t="s">
        <v>1364</v>
      </c>
      <c r="B1567" t="s">
        <v>1365</v>
      </c>
      <c r="C1567" t="s">
        <v>26</v>
      </c>
      <c r="D1567">
        <v>40.27111</v>
      </c>
      <c r="E1567">
        <v>-99.733890000000002</v>
      </c>
      <c r="K1567">
        <v>0</v>
      </c>
      <c r="O1567" t="s">
        <v>51</v>
      </c>
      <c r="Q1567" t="s">
        <v>21</v>
      </c>
    </row>
    <row r="1568" spans="1:17" x14ac:dyDescent="0.25">
      <c r="A1568" t="s">
        <v>1366</v>
      </c>
      <c r="B1568" t="s">
        <v>1367</v>
      </c>
      <c r="C1568" t="s">
        <v>26</v>
      </c>
      <c r="D1568">
        <v>40.077779999999997</v>
      </c>
      <c r="E1568">
        <v>-99.140270000000001</v>
      </c>
      <c r="K1568">
        <v>0</v>
      </c>
      <c r="O1568" t="s">
        <v>51</v>
      </c>
      <c r="Q1568" t="s">
        <v>21</v>
      </c>
    </row>
    <row r="1569" spans="1:17" x14ac:dyDescent="0.25">
      <c r="A1569" t="s">
        <v>3349</v>
      </c>
      <c r="B1569" t="s">
        <v>3350</v>
      </c>
      <c r="C1569" t="s">
        <v>19</v>
      </c>
      <c r="D1569">
        <v>37.369399999999999</v>
      </c>
      <c r="E1569">
        <v>-106.9397</v>
      </c>
      <c r="F1569">
        <v>7617.49</v>
      </c>
      <c r="G1569" t="s">
        <v>1576</v>
      </c>
      <c r="K1569">
        <v>0</v>
      </c>
      <c r="O1569" t="s">
        <v>51</v>
      </c>
      <c r="Q1569" t="s">
        <v>2284</v>
      </c>
    </row>
    <row r="1570" spans="1:17" x14ac:dyDescent="0.25">
      <c r="A1570" t="s">
        <v>1424</v>
      </c>
      <c r="B1570" t="s">
        <v>1425</v>
      </c>
      <c r="C1570" t="s">
        <v>19</v>
      </c>
      <c r="D1570">
        <v>39.252780000000001</v>
      </c>
      <c r="E1570">
        <v>-106.37417000000001</v>
      </c>
      <c r="F1570">
        <v>9750</v>
      </c>
      <c r="H1570" s="1">
        <v>38755</v>
      </c>
      <c r="K1570">
        <v>0</v>
      </c>
      <c r="O1570" t="s">
        <v>30</v>
      </c>
      <c r="P1570" t="s">
        <v>38</v>
      </c>
      <c r="Q1570" t="s">
        <v>21</v>
      </c>
    </row>
    <row r="1571" spans="1:17" x14ac:dyDescent="0.25">
      <c r="A1571" t="s">
        <v>1414</v>
      </c>
      <c r="B1571" t="s">
        <v>1415</v>
      </c>
      <c r="C1571" t="s">
        <v>86</v>
      </c>
      <c r="D1571">
        <v>31.376950000000001</v>
      </c>
      <c r="E1571">
        <v>-100.53361</v>
      </c>
      <c r="K1571">
        <v>0</v>
      </c>
      <c r="O1571" t="s">
        <v>30</v>
      </c>
      <c r="P1571" t="s">
        <v>48</v>
      </c>
      <c r="Q1571" t="s">
        <v>21</v>
      </c>
    </row>
    <row r="1572" spans="1:17" x14ac:dyDescent="0.25">
      <c r="A1572" t="s">
        <v>1975</v>
      </c>
      <c r="B1572" t="s">
        <v>1976</v>
      </c>
      <c r="C1572" t="s">
        <v>410</v>
      </c>
      <c r="D1572">
        <v>42.546109999999999</v>
      </c>
      <c r="E1572">
        <v>-114.34527</v>
      </c>
      <c r="F1572">
        <v>1194.82</v>
      </c>
      <c r="G1572" t="s">
        <v>1576</v>
      </c>
      <c r="H1572" s="1">
        <v>32933</v>
      </c>
      <c r="J1572" t="s">
        <v>1577</v>
      </c>
      <c r="K1572">
        <v>0</v>
      </c>
      <c r="L1572" t="s">
        <v>1578</v>
      </c>
      <c r="O1572" t="s">
        <v>151</v>
      </c>
      <c r="P1572" t="s">
        <v>1585</v>
      </c>
      <c r="Q1572" t="s">
        <v>1580</v>
      </c>
    </row>
    <row r="1573" spans="1:17" x14ac:dyDescent="0.25">
      <c r="A1573" t="s">
        <v>1967</v>
      </c>
      <c r="B1573" t="s">
        <v>1968</v>
      </c>
      <c r="C1573" t="s">
        <v>410</v>
      </c>
      <c r="D1573">
        <v>42.568781999999999</v>
      </c>
      <c r="E1573">
        <v>-114.60154799999999</v>
      </c>
      <c r="F1573">
        <v>1147</v>
      </c>
      <c r="G1573" t="s">
        <v>1576</v>
      </c>
      <c r="H1573" s="1">
        <v>41507</v>
      </c>
      <c r="J1573" t="s">
        <v>1577</v>
      </c>
      <c r="K1573">
        <v>0</v>
      </c>
      <c r="L1573" t="s">
        <v>1578</v>
      </c>
      <c r="O1573" t="s">
        <v>151</v>
      </c>
      <c r="P1573" t="s">
        <v>1585</v>
      </c>
      <c r="Q1573" t="s">
        <v>1580</v>
      </c>
    </row>
    <row r="1574" spans="1:17" x14ac:dyDescent="0.25">
      <c r="A1574" t="s">
        <v>1426</v>
      </c>
      <c r="B1574" t="s">
        <v>1427</v>
      </c>
      <c r="C1574" t="s">
        <v>19</v>
      </c>
      <c r="D1574">
        <v>39.080280000000002</v>
      </c>
      <c r="E1574">
        <v>-106.31389</v>
      </c>
      <c r="F1574">
        <v>9200</v>
      </c>
      <c r="H1574" s="1">
        <v>39618</v>
      </c>
      <c r="K1574">
        <v>0</v>
      </c>
      <c r="O1574" t="s">
        <v>30</v>
      </c>
      <c r="P1574" t="s">
        <v>38</v>
      </c>
      <c r="Q1574" t="s">
        <v>21</v>
      </c>
    </row>
    <row r="1575" spans="1:17" x14ac:dyDescent="0.25">
      <c r="A1575" t="s">
        <v>3351</v>
      </c>
      <c r="B1575" t="s">
        <v>3352</v>
      </c>
      <c r="C1575" t="s">
        <v>19</v>
      </c>
      <c r="D1575">
        <v>39.0822</v>
      </c>
      <c r="E1575">
        <v>-106.54</v>
      </c>
      <c r="G1575" t="s">
        <v>1576</v>
      </c>
      <c r="K1575">
        <v>0</v>
      </c>
      <c r="O1575" t="s">
        <v>20</v>
      </c>
      <c r="Q1575" t="s">
        <v>2284</v>
      </c>
    </row>
    <row r="1576" spans="1:17" x14ac:dyDescent="0.25">
      <c r="A1576" t="s">
        <v>1428</v>
      </c>
      <c r="B1576" t="s">
        <v>1429</v>
      </c>
      <c r="C1576" t="s">
        <v>19</v>
      </c>
      <c r="D1576">
        <v>39.08222</v>
      </c>
      <c r="E1576">
        <v>-106.54</v>
      </c>
      <c r="K1576">
        <v>0</v>
      </c>
      <c r="O1576" t="s">
        <v>20</v>
      </c>
      <c r="Q1576" t="s">
        <v>21</v>
      </c>
    </row>
    <row r="1577" spans="1:17" x14ac:dyDescent="0.25">
      <c r="A1577" t="s">
        <v>1390</v>
      </c>
      <c r="B1577" t="s">
        <v>1391</v>
      </c>
      <c r="C1577" t="s">
        <v>41</v>
      </c>
      <c r="D1577">
        <v>45.644170000000003</v>
      </c>
      <c r="E1577">
        <v>-107.6575</v>
      </c>
      <c r="K1577">
        <v>0</v>
      </c>
      <c r="O1577" t="s">
        <v>51</v>
      </c>
      <c r="Q1577" t="s">
        <v>21</v>
      </c>
    </row>
    <row r="1578" spans="1:17" x14ac:dyDescent="0.25">
      <c r="A1578" t="s">
        <v>1392</v>
      </c>
      <c r="B1578" t="s">
        <v>1393</v>
      </c>
      <c r="C1578" t="s">
        <v>41</v>
      </c>
      <c r="D1578">
        <v>48.426670000000001</v>
      </c>
      <c r="E1578">
        <v>-112.98887999999999</v>
      </c>
      <c r="K1578">
        <v>0</v>
      </c>
      <c r="O1578" t="s">
        <v>51</v>
      </c>
      <c r="Q1578" t="s">
        <v>21</v>
      </c>
    </row>
    <row r="1579" spans="1:17" x14ac:dyDescent="0.25">
      <c r="A1579" t="s">
        <v>1400</v>
      </c>
      <c r="B1579" t="s">
        <v>1401</v>
      </c>
      <c r="C1579" t="s">
        <v>37</v>
      </c>
      <c r="D1579">
        <v>44.15</v>
      </c>
      <c r="E1579">
        <v>-110.21666999999999</v>
      </c>
      <c r="F1579">
        <v>9240</v>
      </c>
      <c r="K1579">
        <v>0</v>
      </c>
      <c r="O1579" t="s">
        <v>57</v>
      </c>
      <c r="Q1579" t="s">
        <v>21</v>
      </c>
    </row>
    <row r="1580" spans="1:17" x14ac:dyDescent="0.25">
      <c r="A1580" t="s">
        <v>2103</v>
      </c>
      <c r="B1580" t="s">
        <v>2104</v>
      </c>
      <c r="C1580" t="s">
        <v>1987</v>
      </c>
      <c r="D1580">
        <v>34.7864</v>
      </c>
      <c r="E1580">
        <v>-114.57080000000001</v>
      </c>
      <c r="G1580" t="s">
        <v>1576</v>
      </c>
      <c r="K1580">
        <v>0</v>
      </c>
      <c r="O1580" t="s">
        <v>34</v>
      </c>
      <c r="Q1580" t="s">
        <v>1988</v>
      </c>
    </row>
    <row r="1581" spans="1:17" x14ac:dyDescent="0.25">
      <c r="A1581" t="s">
        <v>2105</v>
      </c>
      <c r="B1581" t="s">
        <v>2106</v>
      </c>
      <c r="C1581" t="s">
        <v>1987</v>
      </c>
      <c r="D1581">
        <v>34.8339</v>
      </c>
      <c r="E1581">
        <v>-114.5372</v>
      </c>
      <c r="G1581" t="s">
        <v>1576</v>
      </c>
      <c r="K1581">
        <v>0</v>
      </c>
      <c r="O1581" t="s">
        <v>20</v>
      </c>
      <c r="Q1581" t="s">
        <v>1988</v>
      </c>
    </row>
    <row r="1582" spans="1:17" x14ac:dyDescent="0.25">
      <c r="A1582" t="s">
        <v>2107</v>
      </c>
      <c r="B1582" t="s">
        <v>2108</v>
      </c>
      <c r="C1582" t="s">
        <v>1987</v>
      </c>
      <c r="D1582">
        <v>34.736899999999999</v>
      </c>
      <c r="E1582">
        <v>-114.485</v>
      </c>
      <c r="G1582" t="s">
        <v>1576</v>
      </c>
      <c r="K1582">
        <v>0</v>
      </c>
      <c r="O1582" t="s">
        <v>51</v>
      </c>
      <c r="Q1582" t="s">
        <v>1988</v>
      </c>
    </row>
    <row r="1583" spans="1:17" x14ac:dyDescent="0.25">
      <c r="A1583" t="s">
        <v>1624</v>
      </c>
      <c r="B1583" t="s">
        <v>1625</v>
      </c>
      <c r="C1583" t="s">
        <v>1622</v>
      </c>
      <c r="D1583">
        <v>41.933627999999999</v>
      </c>
      <c r="E1583">
        <v>-111.420137</v>
      </c>
      <c r="F1583">
        <v>1979.9808</v>
      </c>
      <c r="G1583" t="s">
        <v>1576</v>
      </c>
      <c r="J1583" t="s">
        <v>1594</v>
      </c>
      <c r="K1583">
        <v>0</v>
      </c>
      <c r="O1583" t="s">
        <v>151</v>
      </c>
      <c r="P1583" t="s">
        <v>1623</v>
      </c>
      <c r="Q1583" t="s">
        <v>1580</v>
      </c>
    </row>
    <row r="1584" spans="1:17" x14ac:dyDescent="0.25">
      <c r="A1584" t="s">
        <v>1631</v>
      </c>
      <c r="B1584" t="s">
        <v>1632</v>
      </c>
      <c r="C1584" t="s">
        <v>1622</v>
      </c>
      <c r="D1584">
        <v>37.7196</v>
      </c>
      <c r="E1584">
        <v>-113.7020167</v>
      </c>
      <c r="F1584">
        <v>1580.9975999999999</v>
      </c>
      <c r="G1584" t="s">
        <v>1576</v>
      </c>
      <c r="J1584" t="s">
        <v>1594</v>
      </c>
      <c r="K1584">
        <v>0</v>
      </c>
      <c r="O1584" t="s">
        <v>151</v>
      </c>
      <c r="P1584" t="s">
        <v>1623</v>
      </c>
      <c r="Q1584" t="s">
        <v>1580</v>
      </c>
    </row>
    <row r="1585" spans="1:17" x14ac:dyDescent="0.25">
      <c r="A1585" t="s">
        <v>1620</v>
      </c>
      <c r="B1585" t="s">
        <v>1621</v>
      </c>
      <c r="C1585" t="s">
        <v>1622</v>
      </c>
      <c r="D1585">
        <v>41.962167000000001</v>
      </c>
      <c r="E1585">
        <v>-112.491167</v>
      </c>
      <c r="F1585">
        <v>1575.816</v>
      </c>
      <c r="G1585" t="s">
        <v>1576</v>
      </c>
      <c r="J1585" t="s">
        <v>1577</v>
      </c>
      <c r="K1585">
        <v>0</v>
      </c>
      <c r="L1585" t="s">
        <v>1578</v>
      </c>
      <c r="O1585" t="s">
        <v>151</v>
      </c>
      <c r="P1585" t="s">
        <v>1623</v>
      </c>
      <c r="Q1585" t="s">
        <v>1580</v>
      </c>
    </row>
    <row r="1586" spans="1:17" x14ac:dyDescent="0.25">
      <c r="A1586" t="s">
        <v>1635</v>
      </c>
      <c r="B1586" t="s">
        <v>1636</v>
      </c>
      <c r="C1586" t="s">
        <v>1622</v>
      </c>
      <c r="D1586">
        <v>38.039900000000003</v>
      </c>
      <c r="E1586">
        <v>-112.711483</v>
      </c>
      <c r="F1586">
        <v>1773.9359999999999</v>
      </c>
      <c r="G1586" t="s">
        <v>1576</v>
      </c>
      <c r="J1586" t="s">
        <v>1577</v>
      </c>
      <c r="K1586">
        <v>0</v>
      </c>
      <c r="L1586" t="s">
        <v>1578</v>
      </c>
      <c r="O1586" t="s">
        <v>151</v>
      </c>
      <c r="P1586" t="s">
        <v>1623</v>
      </c>
      <c r="Q1586" t="s">
        <v>1580</v>
      </c>
    </row>
    <row r="1587" spans="1:17" x14ac:dyDescent="0.25">
      <c r="A1587" t="s">
        <v>1644</v>
      </c>
      <c r="B1587" t="s">
        <v>1645</v>
      </c>
      <c r="C1587" t="s">
        <v>1622</v>
      </c>
      <c r="D1587">
        <v>37.672966670000001</v>
      </c>
      <c r="E1587">
        <v>-113.13716669999999</v>
      </c>
      <c r="F1587">
        <v>1685.2392</v>
      </c>
      <c r="G1587" t="s">
        <v>1576</v>
      </c>
      <c r="J1587" t="s">
        <v>1577</v>
      </c>
      <c r="K1587">
        <v>0</v>
      </c>
      <c r="L1587" t="s">
        <v>1578</v>
      </c>
      <c r="O1587" t="s">
        <v>151</v>
      </c>
      <c r="P1587" t="s">
        <v>1623</v>
      </c>
      <c r="Q1587" t="s">
        <v>1580</v>
      </c>
    </row>
    <row r="1588" spans="1:17" x14ac:dyDescent="0.25">
      <c r="A1588" t="s">
        <v>1656</v>
      </c>
      <c r="B1588" t="s">
        <v>1657</v>
      </c>
      <c r="C1588" t="s">
        <v>1622</v>
      </c>
      <c r="D1588">
        <v>41.519150000000003</v>
      </c>
      <c r="E1588">
        <v>-112.17395</v>
      </c>
      <c r="F1588">
        <v>1291.7424000000001</v>
      </c>
      <c r="G1588" t="s">
        <v>1576</v>
      </c>
      <c r="J1588" t="s">
        <v>1577</v>
      </c>
      <c r="K1588">
        <v>0</v>
      </c>
      <c r="L1588" t="s">
        <v>1578</v>
      </c>
      <c r="O1588" t="s">
        <v>151</v>
      </c>
      <c r="P1588" t="s">
        <v>1623</v>
      </c>
      <c r="Q1588" t="s">
        <v>1580</v>
      </c>
    </row>
    <row r="1589" spans="1:17" x14ac:dyDescent="0.25">
      <c r="A1589" t="s">
        <v>1672</v>
      </c>
      <c r="B1589" t="s">
        <v>1673</v>
      </c>
      <c r="C1589" t="s">
        <v>1622</v>
      </c>
      <c r="D1589">
        <v>41.762949999999996</v>
      </c>
      <c r="E1589">
        <v>-111.87895</v>
      </c>
      <c r="F1589">
        <v>1351.788</v>
      </c>
      <c r="G1589" t="s">
        <v>1576</v>
      </c>
      <c r="J1589" t="s">
        <v>1577</v>
      </c>
      <c r="K1589">
        <v>0</v>
      </c>
      <c r="L1589" t="s">
        <v>1578</v>
      </c>
      <c r="O1589" t="s">
        <v>151</v>
      </c>
      <c r="P1589" t="s">
        <v>1623</v>
      </c>
      <c r="Q1589" t="s">
        <v>1580</v>
      </c>
    </row>
    <row r="1590" spans="1:17" x14ac:dyDescent="0.25">
      <c r="A1590" t="s">
        <v>1694</v>
      </c>
      <c r="B1590" t="s">
        <v>1695</v>
      </c>
      <c r="C1590" t="s">
        <v>1622</v>
      </c>
      <c r="D1590">
        <v>41.694499999999998</v>
      </c>
      <c r="E1590">
        <v>-111.83316670000001</v>
      </c>
      <c r="F1590">
        <v>1382.268</v>
      </c>
      <c r="G1590" t="s">
        <v>1576</v>
      </c>
      <c r="J1590" t="s">
        <v>1577</v>
      </c>
      <c r="K1590">
        <v>0</v>
      </c>
      <c r="L1590" t="s">
        <v>1578</v>
      </c>
      <c r="O1590" t="s">
        <v>151</v>
      </c>
      <c r="P1590" t="s">
        <v>1623</v>
      </c>
      <c r="Q1590" t="s">
        <v>1580</v>
      </c>
    </row>
    <row r="1591" spans="1:17" x14ac:dyDescent="0.25">
      <c r="A1591" t="s">
        <v>1704</v>
      </c>
      <c r="B1591" t="s">
        <v>1705</v>
      </c>
      <c r="C1591" t="s">
        <v>1622</v>
      </c>
      <c r="D1591">
        <v>38.957099999999997</v>
      </c>
      <c r="E1591">
        <v>-112.0004</v>
      </c>
      <c r="F1591">
        <v>1443.2280000000001</v>
      </c>
      <c r="G1591" t="s">
        <v>1576</v>
      </c>
      <c r="J1591" t="s">
        <v>1577</v>
      </c>
      <c r="K1591">
        <v>0</v>
      </c>
      <c r="L1591" t="s">
        <v>1578</v>
      </c>
      <c r="O1591" t="s">
        <v>151</v>
      </c>
      <c r="P1591" t="s">
        <v>1623</v>
      </c>
      <c r="Q1591" t="s">
        <v>1580</v>
      </c>
    </row>
    <row r="1592" spans="1:17" x14ac:dyDescent="0.25">
      <c r="A1592" t="s">
        <v>1776</v>
      </c>
      <c r="B1592" t="s">
        <v>1777</v>
      </c>
      <c r="C1592" t="s">
        <v>1622</v>
      </c>
      <c r="D1592">
        <v>41.837899999999998</v>
      </c>
      <c r="E1592">
        <v>-111.3343833</v>
      </c>
      <c r="F1592">
        <v>1816.3032000000001</v>
      </c>
      <c r="G1592" t="s">
        <v>1576</v>
      </c>
      <c r="J1592" t="s">
        <v>1577</v>
      </c>
      <c r="K1592">
        <v>0</v>
      </c>
      <c r="L1592" t="s">
        <v>1578</v>
      </c>
      <c r="O1592" t="s">
        <v>151</v>
      </c>
      <c r="P1592" t="s">
        <v>1623</v>
      </c>
      <c r="Q1592" t="s">
        <v>1580</v>
      </c>
    </row>
    <row r="1593" spans="1:17" x14ac:dyDescent="0.25">
      <c r="A1593" t="s">
        <v>1782</v>
      </c>
      <c r="B1593" t="s">
        <v>1783</v>
      </c>
      <c r="C1593" t="s">
        <v>1622</v>
      </c>
      <c r="D1593">
        <v>41.952133330000002</v>
      </c>
      <c r="E1593">
        <v>-111.8690333</v>
      </c>
      <c r="F1593">
        <v>1375.8671999999999</v>
      </c>
      <c r="G1593" t="s">
        <v>1576</v>
      </c>
      <c r="J1593" t="s">
        <v>1577</v>
      </c>
      <c r="K1593">
        <v>0</v>
      </c>
      <c r="L1593" t="s">
        <v>1578</v>
      </c>
      <c r="O1593" t="s">
        <v>151</v>
      </c>
      <c r="P1593" t="s">
        <v>1623</v>
      </c>
      <c r="Q1593" t="s">
        <v>1580</v>
      </c>
    </row>
    <row r="1594" spans="1:17" x14ac:dyDescent="0.25">
      <c r="A1594" t="s">
        <v>1784</v>
      </c>
      <c r="B1594" t="s">
        <v>1785</v>
      </c>
      <c r="C1594" t="s">
        <v>1622</v>
      </c>
      <c r="D1594">
        <v>41.738683330000001</v>
      </c>
      <c r="E1594">
        <v>-111.8035333</v>
      </c>
      <c r="F1594">
        <v>1465.4784</v>
      </c>
      <c r="G1594" t="s">
        <v>1576</v>
      </c>
      <c r="J1594" t="s">
        <v>1577</v>
      </c>
      <c r="K1594">
        <v>0</v>
      </c>
      <c r="L1594" t="s">
        <v>1578</v>
      </c>
      <c r="O1594" t="s">
        <v>151</v>
      </c>
      <c r="P1594" t="s">
        <v>1623</v>
      </c>
      <c r="Q1594" t="s">
        <v>1580</v>
      </c>
    </row>
    <row r="1595" spans="1:17" x14ac:dyDescent="0.25">
      <c r="A1595" t="s">
        <v>1836</v>
      </c>
      <c r="B1595" t="s">
        <v>1837</v>
      </c>
      <c r="C1595" t="s">
        <v>1622</v>
      </c>
      <c r="D1595">
        <v>40.631333329999997</v>
      </c>
      <c r="E1595">
        <v>-111.9198</v>
      </c>
      <c r="F1595">
        <v>1307.5920000000001</v>
      </c>
      <c r="G1595" t="s">
        <v>1576</v>
      </c>
      <c r="J1595" t="s">
        <v>1577</v>
      </c>
      <c r="K1595">
        <v>0</v>
      </c>
      <c r="L1595" t="s">
        <v>1578</v>
      </c>
      <c r="O1595" t="s">
        <v>151</v>
      </c>
      <c r="P1595" t="s">
        <v>1623</v>
      </c>
      <c r="Q1595" t="s">
        <v>1580</v>
      </c>
    </row>
    <row r="1596" spans="1:17" x14ac:dyDescent="0.25">
      <c r="A1596" t="s">
        <v>1840</v>
      </c>
      <c r="B1596" t="s">
        <v>1841</v>
      </c>
      <c r="C1596" t="s">
        <v>1622</v>
      </c>
      <c r="D1596">
        <v>39.68941667</v>
      </c>
      <c r="E1596">
        <v>-111.8767833</v>
      </c>
      <c r="F1596">
        <v>1524.6096</v>
      </c>
      <c r="G1596" t="s">
        <v>1576</v>
      </c>
      <c r="J1596" t="s">
        <v>1577</v>
      </c>
      <c r="K1596">
        <v>0</v>
      </c>
      <c r="L1596" t="s">
        <v>1578</v>
      </c>
      <c r="O1596" t="s">
        <v>151</v>
      </c>
      <c r="P1596" t="s">
        <v>1623</v>
      </c>
      <c r="Q1596" t="s">
        <v>1580</v>
      </c>
    </row>
    <row r="1597" spans="1:17" x14ac:dyDescent="0.25">
      <c r="A1597" t="s">
        <v>1860</v>
      </c>
      <c r="B1597" t="s">
        <v>1861</v>
      </c>
      <c r="C1597" t="s">
        <v>1622</v>
      </c>
      <c r="D1597">
        <v>37.86858333</v>
      </c>
      <c r="E1597">
        <v>-112.42176670000001</v>
      </c>
      <c r="F1597">
        <v>1996.44</v>
      </c>
      <c r="G1597" t="s">
        <v>1576</v>
      </c>
      <c r="J1597" t="s">
        <v>1577</v>
      </c>
      <c r="K1597">
        <v>0</v>
      </c>
      <c r="L1597" t="s">
        <v>1578</v>
      </c>
      <c r="O1597" t="s">
        <v>151</v>
      </c>
      <c r="P1597" t="s">
        <v>1623</v>
      </c>
      <c r="Q1597" t="s">
        <v>1580</v>
      </c>
    </row>
    <row r="1598" spans="1:17" x14ac:dyDescent="0.25">
      <c r="A1598" t="s">
        <v>1864</v>
      </c>
      <c r="B1598" t="s">
        <v>1865</v>
      </c>
      <c r="C1598" t="s">
        <v>1622</v>
      </c>
      <c r="D1598">
        <v>37.862266669999997</v>
      </c>
      <c r="E1598">
        <v>-112.88106670000001</v>
      </c>
      <c r="F1598">
        <v>1758.6959999999999</v>
      </c>
      <c r="G1598" t="s">
        <v>1576</v>
      </c>
      <c r="J1598" t="s">
        <v>1577</v>
      </c>
      <c r="K1598">
        <v>0</v>
      </c>
      <c r="L1598" t="s">
        <v>1578</v>
      </c>
      <c r="O1598" t="s">
        <v>151</v>
      </c>
      <c r="P1598" t="s">
        <v>1623</v>
      </c>
      <c r="Q1598" t="s">
        <v>1580</v>
      </c>
    </row>
    <row r="1599" spans="1:17" x14ac:dyDescent="0.25">
      <c r="A1599" t="s">
        <v>1890</v>
      </c>
      <c r="B1599" t="s">
        <v>1891</v>
      </c>
      <c r="C1599" t="s">
        <v>1622</v>
      </c>
      <c r="D1599">
        <v>41.832666670000002</v>
      </c>
      <c r="E1599">
        <v>-111.0877167</v>
      </c>
      <c r="F1599">
        <v>1909.2672</v>
      </c>
      <c r="G1599" t="s">
        <v>1576</v>
      </c>
      <c r="J1599" t="s">
        <v>1577</v>
      </c>
      <c r="K1599">
        <v>0</v>
      </c>
      <c r="L1599" t="s">
        <v>1578</v>
      </c>
      <c r="O1599" t="s">
        <v>151</v>
      </c>
      <c r="P1599" t="s">
        <v>1623</v>
      </c>
      <c r="Q1599" t="s">
        <v>1580</v>
      </c>
    </row>
    <row r="1600" spans="1:17" x14ac:dyDescent="0.25">
      <c r="A1600" t="s">
        <v>1941</v>
      </c>
      <c r="B1600" t="s">
        <v>1942</v>
      </c>
      <c r="C1600" t="s">
        <v>1622</v>
      </c>
      <c r="D1600">
        <v>41.983816670000003</v>
      </c>
      <c r="E1600">
        <v>-112.9119833</v>
      </c>
      <c r="F1600">
        <v>1354.2264</v>
      </c>
      <c r="G1600" t="s">
        <v>1576</v>
      </c>
      <c r="J1600" t="s">
        <v>1577</v>
      </c>
      <c r="K1600">
        <v>0</v>
      </c>
      <c r="L1600" t="s">
        <v>1578</v>
      </c>
      <c r="O1600" t="s">
        <v>151</v>
      </c>
      <c r="P1600" t="s">
        <v>1623</v>
      </c>
      <c r="Q1600" t="s">
        <v>1580</v>
      </c>
    </row>
    <row r="1601" spans="1:17" x14ac:dyDescent="0.25">
      <c r="A1601" t="s">
        <v>1939</v>
      </c>
      <c r="B1601" t="s">
        <v>1940</v>
      </c>
      <c r="C1601" t="s">
        <v>1622</v>
      </c>
      <c r="D1601">
        <v>41.866250000000001</v>
      </c>
      <c r="E1601">
        <v>-112.72465</v>
      </c>
      <c r="F1601">
        <v>1466.6976</v>
      </c>
      <c r="G1601" t="s">
        <v>1576</v>
      </c>
      <c r="J1601" t="s">
        <v>1577</v>
      </c>
      <c r="K1601">
        <v>0</v>
      </c>
      <c r="L1601" t="s">
        <v>1578</v>
      </c>
      <c r="O1601" t="s">
        <v>151</v>
      </c>
      <c r="P1601" t="s">
        <v>1623</v>
      </c>
      <c r="Q1601" t="s">
        <v>1580</v>
      </c>
    </row>
    <row r="1602" spans="1:17" x14ac:dyDescent="0.25">
      <c r="A1602" t="s">
        <v>1945</v>
      </c>
      <c r="B1602" t="s">
        <v>1946</v>
      </c>
      <c r="C1602" t="s">
        <v>1622</v>
      </c>
      <c r="D1602">
        <v>40.0672</v>
      </c>
      <c r="E1602">
        <v>-111.6291167</v>
      </c>
      <c r="F1602">
        <v>1438.9608000000001</v>
      </c>
      <c r="G1602" t="s">
        <v>1576</v>
      </c>
      <c r="J1602" t="s">
        <v>1577</v>
      </c>
      <c r="K1602">
        <v>0</v>
      </c>
      <c r="L1602" t="s">
        <v>1578</v>
      </c>
      <c r="O1602" t="s">
        <v>151</v>
      </c>
      <c r="P1602" t="s">
        <v>1623</v>
      </c>
      <c r="Q1602" t="s">
        <v>1580</v>
      </c>
    </row>
    <row r="1603" spans="1:17" x14ac:dyDescent="0.25">
      <c r="A1603" t="s">
        <v>1969</v>
      </c>
      <c r="B1603" t="s">
        <v>1970</v>
      </c>
      <c r="C1603" t="s">
        <v>1622</v>
      </c>
      <c r="D1603">
        <v>41.722933329999996</v>
      </c>
      <c r="E1603">
        <v>-112.15375</v>
      </c>
      <c r="F1603">
        <v>1320.0888</v>
      </c>
      <c r="G1603" t="s">
        <v>1576</v>
      </c>
      <c r="J1603" t="s">
        <v>1577</v>
      </c>
      <c r="K1603">
        <v>0</v>
      </c>
      <c r="L1603" t="s">
        <v>1578</v>
      </c>
      <c r="O1603" t="s">
        <v>151</v>
      </c>
      <c r="P1603" t="s">
        <v>1623</v>
      </c>
      <c r="Q1603" t="s">
        <v>1580</v>
      </c>
    </row>
    <row r="1604" spans="1:17" x14ac:dyDescent="0.25">
      <c r="A1604" t="s">
        <v>1977</v>
      </c>
      <c r="B1604" t="s">
        <v>1978</v>
      </c>
      <c r="C1604" t="s">
        <v>1622</v>
      </c>
      <c r="D1604">
        <v>38.823500000000003</v>
      </c>
      <c r="E1604">
        <v>-112.000367</v>
      </c>
      <c r="F1604">
        <v>1598.3712</v>
      </c>
      <c r="G1604" t="s">
        <v>1576</v>
      </c>
      <c r="J1604" t="s">
        <v>1577</v>
      </c>
      <c r="K1604">
        <v>0</v>
      </c>
      <c r="L1604" t="s">
        <v>1578</v>
      </c>
      <c r="O1604" t="s">
        <v>151</v>
      </c>
      <c r="P1604" t="s">
        <v>1623</v>
      </c>
      <c r="Q1604" t="s">
        <v>1580</v>
      </c>
    </row>
    <row r="1605" spans="1:17" x14ac:dyDescent="0.25">
      <c r="A1605" t="s">
        <v>1438</v>
      </c>
      <c r="B1605" t="s">
        <v>1439</v>
      </c>
      <c r="C1605" t="s">
        <v>41</v>
      </c>
      <c r="D1605">
        <v>47.40278</v>
      </c>
      <c r="E1605">
        <v>-111.50749999999999</v>
      </c>
      <c r="F1605">
        <v>3345</v>
      </c>
      <c r="K1605">
        <v>0</v>
      </c>
      <c r="O1605" t="s">
        <v>151</v>
      </c>
      <c r="Q1605" t="s">
        <v>21</v>
      </c>
    </row>
    <row r="1606" spans="1:17" x14ac:dyDescent="0.25">
      <c r="A1606" t="s">
        <v>2249</v>
      </c>
      <c r="B1606" t="s">
        <v>2250</v>
      </c>
      <c r="C1606" t="s">
        <v>1643</v>
      </c>
      <c r="D1606">
        <v>32.6</v>
      </c>
      <c r="E1606">
        <v>-114.5</v>
      </c>
      <c r="G1606" t="s">
        <v>1589</v>
      </c>
      <c r="K1606">
        <v>0</v>
      </c>
      <c r="O1606" t="s">
        <v>20</v>
      </c>
      <c r="Q1606" t="s">
        <v>1988</v>
      </c>
    </row>
    <row r="1607" spans="1:17" x14ac:dyDescent="0.25">
      <c r="A1607" t="s">
        <v>3353</v>
      </c>
      <c r="B1607" t="s">
        <v>3354</v>
      </c>
      <c r="C1607" t="s">
        <v>19</v>
      </c>
      <c r="D1607">
        <v>38.331400000000002</v>
      </c>
      <c r="E1607">
        <v>-107.77889999999999</v>
      </c>
      <c r="F1607">
        <v>6318.8</v>
      </c>
      <c r="G1607" t="s">
        <v>1576</v>
      </c>
      <c r="K1607">
        <v>0</v>
      </c>
      <c r="O1607" t="s">
        <v>51</v>
      </c>
      <c r="Q1607" t="s">
        <v>2284</v>
      </c>
    </row>
    <row r="1608" spans="1:17" x14ac:dyDescent="0.25">
      <c r="A1608" t="s">
        <v>3355</v>
      </c>
      <c r="B1608" t="s">
        <v>3356</v>
      </c>
      <c r="C1608" t="s">
        <v>19</v>
      </c>
      <c r="D1608">
        <v>38.741900000000001</v>
      </c>
      <c r="E1608">
        <v>-108.08029999999999</v>
      </c>
      <c r="F1608">
        <v>4926.49</v>
      </c>
      <c r="G1608" t="s">
        <v>1576</v>
      </c>
      <c r="K1608">
        <v>0</v>
      </c>
      <c r="O1608" t="s">
        <v>51</v>
      </c>
      <c r="Q1608" t="s">
        <v>2284</v>
      </c>
    </row>
    <row r="1609" spans="1:17" x14ac:dyDescent="0.25">
      <c r="A1609" t="s">
        <v>3357</v>
      </c>
      <c r="B1609" t="s">
        <v>3358</v>
      </c>
      <c r="C1609" t="s">
        <v>19</v>
      </c>
      <c r="D1609">
        <v>38.238100000000003</v>
      </c>
      <c r="E1609">
        <v>-107.7586</v>
      </c>
      <c r="F1609">
        <v>6650</v>
      </c>
      <c r="G1609" t="s">
        <v>1576</v>
      </c>
      <c r="K1609">
        <v>0</v>
      </c>
      <c r="O1609" t="s">
        <v>51</v>
      </c>
      <c r="Q1609" t="s">
        <v>2284</v>
      </c>
    </row>
    <row r="1610" spans="1:17" x14ac:dyDescent="0.25">
      <c r="A1610" t="s">
        <v>3359</v>
      </c>
      <c r="B1610" t="s">
        <v>3360</v>
      </c>
      <c r="C1610" t="s">
        <v>19</v>
      </c>
      <c r="D1610">
        <v>38.183900000000001</v>
      </c>
      <c r="E1610">
        <v>-107.7453</v>
      </c>
      <c r="F1610">
        <v>6877.58</v>
      </c>
      <c r="G1610" t="s">
        <v>1576</v>
      </c>
      <c r="K1610">
        <v>0</v>
      </c>
      <c r="O1610" t="s">
        <v>51</v>
      </c>
      <c r="Q1610" t="s">
        <v>2284</v>
      </c>
    </row>
    <row r="1611" spans="1:17" x14ac:dyDescent="0.25">
      <c r="A1611" t="s">
        <v>2251</v>
      </c>
      <c r="B1611" t="s">
        <v>2252</v>
      </c>
      <c r="C1611" t="s">
        <v>1987</v>
      </c>
      <c r="D1611">
        <v>32.880000000000003</v>
      </c>
      <c r="E1611">
        <v>-114.46</v>
      </c>
      <c r="G1611" t="s">
        <v>1576</v>
      </c>
      <c r="K1611">
        <v>0</v>
      </c>
      <c r="O1611" t="s">
        <v>20</v>
      </c>
      <c r="Q1611" t="s">
        <v>1988</v>
      </c>
    </row>
    <row r="1612" spans="1:17" x14ac:dyDescent="0.25">
      <c r="A1612" t="s">
        <v>1442</v>
      </c>
      <c r="B1612" t="s">
        <v>1443</v>
      </c>
      <c r="C1612" t="s">
        <v>19</v>
      </c>
      <c r="D1612">
        <v>40.033329999999999</v>
      </c>
      <c r="E1612">
        <v>-105.58334000000001</v>
      </c>
      <c r="F1612">
        <v>10360</v>
      </c>
      <c r="K1612">
        <v>0</v>
      </c>
      <c r="O1612" t="s">
        <v>57</v>
      </c>
      <c r="Q1612" t="s">
        <v>21</v>
      </c>
    </row>
    <row r="1613" spans="1:17" x14ac:dyDescent="0.25">
      <c r="A1613" t="s">
        <v>2253</v>
      </c>
      <c r="B1613" t="s">
        <v>2254</v>
      </c>
      <c r="C1613" t="s">
        <v>1987</v>
      </c>
      <c r="D1613">
        <v>32.880000000000003</v>
      </c>
      <c r="E1613">
        <v>-114.46</v>
      </c>
      <c r="G1613" t="s">
        <v>1576</v>
      </c>
      <c r="K1613">
        <v>0</v>
      </c>
      <c r="O1613" t="s">
        <v>20</v>
      </c>
      <c r="Q1613" t="s">
        <v>1988</v>
      </c>
    </row>
    <row r="1614" spans="1:17" x14ac:dyDescent="0.25">
      <c r="A1614" t="s">
        <v>1432</v>
      </c>
      <c r="B1614" t="s">
        <v>1433</v>
      </c>
      <c r="C1614" t="s">
        <v>37</v>
      </c>
      <c r="D1614">
        <v>43.941940000000002</v>
      </c>
      <c r="E1614">
        <v>-108.05056</v>
      </c>
      <c r="K1614">
        <v>0</v>
      </c>
      <c r="O1614" t="s">
        <v>34</v>
      </c>
      <c r="Q1614" t="s">
        <v>21</v>
      </c>
    </row>
    <row r="1615" spans="1:17" x14ac:dyDescent="0.25">
      <c r="A1615" t="s">
        <v>3489</v>
      </c>
      <c r="B1615" t="s">
        <v>3490</v>
      </c>
      <c r="C1615" t="s">
        <v>1643</v>
      </c>
      <c r="D1615">
        <v>37.914999999999999</v>
      </c>
      <c r="E1615">
        <v>-120.935</v>
      </c>
      <c r="F1615">
        <v>180</v>
      </c>
      <c r="G1615" t="s">
        <v>1589</v>
      </c>
      <c r="K1615">
        <v>0</v>
      </c>
      <c r="O1615" t="s">
        <v>34</v>
      </c>
      <c r="Q1615" t="s">
        <v>3478</v>
      </c>
    </row>
    <row r="1616" spans="1:17" x14ac:dyDescent="0.25">
      <c r="A1616" t="s">
        <v>1434</v>
      </c>
      <c r="B1616" t="s">
        <v>1435</v>
      </c>
      <c r="C1616" t="s">
        <v>37</v>
      </c>
      <c r="D1616">
        <v>43.85333</v>
      </c>
      <c r="E1616">
        <v>-108.175</v>
      </c>
      <c r="K1616">
        <v>0</v>
      </c>
      <c r="O1616" t="s">
        <v>34</v>
      </c>
      <c r="Q1616" t="s">
        <v>21</v>
      </c>
    </row>
    <row r="1617" spans="1:17" x14ac:dyDescent="0.25">
      <c r="A1617" t="s">
        <v>1440</v>
      </c>
      <c r="B1617" t="s">
        <v>1441</v>
      </c>
      <c r="C1617" t="s">
        <v>41</v>
      </c>
      <c r="D1617">
        <v>46.447220000000002</v>
      </c>
      <c r="E1617">
        <v>-109.94</v>
      </c>
      <c r="F1617">
        <v>4360</v>
      </c>
      <c r="K1617">
        <v>0</v>
      </c>
      <c r="O1617" t="s">
        <v>151</v>
      </c>
      <c r="Q1617" t="s">
        <v>21</v>
      </c>
    </row>
    <row r="1618" spans="1:17" x14ac:dyDescent="0.25">
      <c r="A1618" t="s">
        <v>3361</v>
      </c>
      <c r="B1618" t="s">
        <v>3362</v>
      </c>
      <c r="C1618" t="s">
        <v>19</v>
      </c>
      <c r="D1618">
        <v>37.716700000000003</v>
      </c>
      <c r="E1618">
        <v>-107.2667</v>
      </c>
      <c r="F1618">
        <v>9400</v>
      </c>
      <c r="G1618" t="s">
        <v>1576</v>
      </c>
      <c r="K1618">
        <v>0</v>
      </c>
      <c r="O1618" t="s">
        <v>57</v>
      </c>
      <c r="Q1618" t="s">
        <v>2284</v>
      </c>
    </row>
    <row r="1619" spans="1:17" x14ac:dyDescent="0.25">
      <c r="A1619" t="s">
        <v>3363</v>
      </c>
      <c r="B1619" t="s">
        <v>3364</v>
      </c>
      <c r="C1619" t="s">
        <v>19</v>
      </c>
      <c r="D1619">
        <v>37.4833</v>
      </c>
      <c r="E1619">
        <v>-106.83329999999999</v>
      </c>
      <c r="F1619">
        <v>10130</v>
      </c>
      <c r="G1619" t="s">
        <v>1576</v>
      </c>
      <c r="K1619">
        <v>0</v>
      </c>
      <c r="O1619" t="s">
        <v>57</v>
      </c>
      <c r="Q1619" t="s">
        <v>2284</v>
      </c>
    </row>
    <row r="1620" spans="1:17" x14ac:dyDescent="0.25">
      <c r="A1620" t="s">
        <v>3365</v>
      </c>
      <c r="B1620" t="s">
        <v>3366</v>
      </c>
      <c r="C1620" t="s">
        <v>1622</v>
      </c>
      <c r="D1620">
        <v>40.3245</v>
      </c>
      <c r="E1620">
        <v>-110.392</v>
      </c>
      <c r="F1620">
        <v>8172</v>
      </c>
      <c r="G1620" t="s">
        <v>1576</v>
      </c>
      <c r="K1620">
        <v>0</v>
      </c>
      <c r="O1620" t="s">
        <v>30</v>
      </c>
      <c r="Q1620" t="s">
        <v>2284</v>
      </c>
    </row>
    <row r="1621" spans="1:17" x14ac:dyDescent="0.25">
      <c r="A1621" t="s">
        <v>3367</v>
      </c>
      <c r="B1621" t="s">
        <v>3368</v>
      </c>
      <c r="C1621" t="s">
        <v>19</v>
      </c>
      <c r="D1621">
        <v>38.9833</v>
      </c>
      <c r="E1621">
        <v>-106.75</v>
      </c>
      <c r="F1621">
        <v>10640</v>
      </c>
      <c r="G1621" t="s">
        <v>1576</v>
      </c>
      <c r="K1621">
        <v>0</v>
      </c>
      <c r="O1621" t="s">
        <v>57</v>
      </c>
      <c r="Q1621" t="s">
        <v>2284</v>
      </c>
    </row>
    <row r="1622" spans="1:17" x14ac:dyDescent="0.25">
      <c r="A1622" t="s">
        <v>1444</v>
      </c>
      <c r="B1622" t="s">
        <v>1445</v>
      </c>
      <c r="C1622" t="s">
        <v>37</v>
      </c>
      <c r="D1622">
        <v>43.408340000000003</v>
      </c>
      <c r="E1622">
        <v>-109.3125</v>
      </c>
      <c r="K1622">
        <v>0</v>
      </c>
      <c r="O1622" t="s">
        <v>34</v>
      </c>
      <c r="Q1622" t="s">
        <v>21</v>
      </c>
    </row>
    <row r="1623" spans="1:17" x14ac:dyDescent="0.25">
      <c r="A1623" t="s">
        <v>3369</v>
      </c>
      <c r="B1623" t="s">
        <v>3370</v>
      </c>
      <c r="C1623" t="s">
        <v>19</v>
      </c>
      <c r="D1623">
        <v>37.613999999999997</v>
      </c>
      <c r="E1623">
        <v>-105.3733</v>
      </c>
      <c r="F1623">
        <v>10650</v>
      </c>
      <c r="G1623" t="s">
        <v>1576</v>
      </c>
      <c r="K1623">
        <v>0</v>
      </c>
      <c r="O1623" t="s">
        <v>57</v>
      </c>
      <c r="Q1623" t="s">
        <v>2284</v>
      </c>
    </row>
    <row r="1624" spans="1:17" x14ac:dyDescent="0.25">
      <c r="A1624" t="s">
        <v>3371</v>
      </c>
      <c r="B1624" t="s">
        <v>3372</v>
      </c>
      <c r="C1624" t="s">
        <v>19</v>
      </c>
      <c r="D1624">
        <v>39.616700000000002</v>
      </c>
      <c r="E1624">
        <v>-106.38330000000001</v>
      </c>
      <c r="F1624">
        <v>10300</v>
      </c>
      <c r="G1624" t="s">
        <v>1576</v>
      </c>
      <c r="K1624">
        <v>0</v>
      </c>
      <c r="O1624" t="s">
        <v>57</v>
      </c>
      <c r="Q1624" t="s">
        <v>2284</v>
      </c>
    </row>
    <row r="1625" spans="1:17" x14ac:dyDescent="0.25">
      <c r="A1625" t="s">
        <v>1450</v>
      </c>
      <c r="B1625" t="s">
        <v>1451</v>
      </c>
      <c r="C1625" t="s">
        <v>41</v>
      </c>
      <c r="D1625">
        <v>48.369720000000001</v>
      </c>
      <c r="E1625">
        <v>-112.24972</v>
      </c>
      <c r="F1625">
        <v>3715</v>
      </c>
      <c r="K1625">
        <v>0</v>
      </c>
      <c r="O1625" t="s">
        <v>151</v>
      </c>
      <c r="Q1625" t="s">
        <v>21</v>
      </c>
    </row>
    <row r="1626" spans="1:17" x14ac:dyDescent="0.25">
      <c r="A1626" t="s">
        <v>3377</v>
      </c>
      <c r="B1626" t="s">
        <v>3378</v>
      </c>
      <c r="C1626" t="s">
        <v>19</v>
      </c>
      <c r="D1626">
        <v>37.4833</v>
      </c>
      <c r="E1626">
        <v>-107.5</v>
      </c>
      <c r="F1626">
        <v>10880</v>
      </c>
      <c r="G1626" t="s">
        <v>1576</v>
      </c>
      <c r="K1626">
        <v>0</v>
      </c>
      <c r="O1626" t="s">
        <v>57</v>
      </c>
      <c r="Q1626" t="s">
        <v>2284</v>
      </c>
    </row>
    <row r="1627" spans="1:17" x14ac:dyDescent="0.25">
      <c r="A1627" t="s">
        <v>3375</v>
      </c>
      <c r="B1627" t="s">
        <v>3376</v>
      </c>
      <c r="C1627" t="s">
        <v>19</v>
      </c>
      <c r="D1627">
        <v>37.477499999999999</v>
      </c>
      <c r="E1627">
        <v>-107.5431</v>
      </c>
      <c r="F1627">
        <v>7906.08</v>
      </c>
      <c r="G1627" t="s">
        <v>1576</v>
      </c>
      <c r="K1627">
        <v>0</v>
      </c>
      <c r="O1627" t="s">
        <v>51</v>
      </c>
      <c r="Q1627" t="s">
        <v>2284</v>
      </c>
    </row>
    <row r="1628" spans="1:17" x14ac:dyDescent="0.25">
      <c r="A1628" t="s">
        <v>3373</v>
      </c>
      <c r="B1628" t="s">
        <v>3374</v>
      </c>
      <c r="C1628" t="s">
        <v>19</v>
      </c>
      <c r="D1628">
        <v>37.229999999999997</v>
      </c>
      <c r="E1628">
        <v>-107.5753</v>
      </c>
      <c r="F1628">
        <v>7665</v>
      </c>
      <c r="G1628" t="s">
        <v>1576</v>
      </c>
      <c r="K1628">
        <v>0</v>
      </c>
      <c r="O1628" t="s">
        <v>30</v>
      </c>
      <c r="Q1628" t="s">
        <v>2284</v>
      </c>
    </row>
    <row r="1629" spans="1:17" x14ac:dyDescent="0.25">
      <c r="A1629" t="s">
        <v>3379</v>
      </c>
      <c r="B1629" t="s">
        <v>3380</v>
      </c>
      <c r="C1629" t="s">
        <v>19</v>
      </c>
      <c r="D1629">
        <v>39.122999999999998</v>
      </c>
      <c r="E1629">
        <v>-107.49</v>
      </c>
      <c r="F1629">
        <v>7984</v>
      </c>
      <c r="G1629" t="s">
        <v>1576</v>
      </c>
      <c r="K1629">
        <v>0</v>
      </c>
      <c r="O1629" t="s">
        <v>30</v>
      </c>
      <c r="Q1629" t="s">
        <v>2284</v>
      </c>
    </row>
    <row r="1630" spans="1:17" x14ac:dyDescent="0.25">
      <c r="A1630" t="s">
        <v>3381</v>
      </c>
      <c r="B1630" t="s">
        <v>3382</v>
      </c>
      <c r="C1630" t="s">
        <v>1622</v>
      </c>
      <c r="D1630">
        <v>39.933300000000003</v>
      </c>
      <c r="E1630">
        <v>-112.41670000000001</v>
      </c>
      <c r="F1630">
        <v>7500</v>
      </c>
      <c r="G1630" t="s">
        <v>1576</v>
      </c>
      <c r="K1630">
        <v>0</v>
      </c>
      <c r="O1630" t="s">
        <v>57</v>
      </c>
      <c r="Q1630" t="s">
        <v>2284</v>
      </c>
    </row>
    <row r="1631" spans="1:17" x14ac:dyDescent="0.25">
      <c r="A1631" t="s">
        <v>3395</v>
      </c>
      <c r="B1631" t="s">
        <v>3396</v>
      </c>
      <c r="C1631" t="s">
        <v>19</v>
      </c>
      <c r="D1631">
        <v>37.450299999999999</v>
      </c>
      <c r="E1631">
        <v>-106.9111</v>
      </c>
      <c r="F1631">
        <v>7935</v>
      </c>
      <c r="G1631" t="s">
        <v>1576</v>
      </c>
      <c r="K1631">
        <v>0</v>
      </c>
      <c r="O1631" t="s">
        <v>51</v>
      </c>
      <c r="Q1631" t="s">
        <v>2284</v>
      </c>
    </row>
    <row r="1632" spans="1:17" x14ac:dyDescent="0.25">
      <c r="A1632" t="s">
        <v>1456</v>
      </c>
      <c r="B1632" t="s">
        <v>1457</v>
      </c>
      <c r="C1632" t="s">
        <v>44</v>
      </c>
      <c r="D1632">
        <v>39.496110000000002</v>
      </c>
      <c r="E1632">
        <v>-98.313339999999997</v>
      </c>
      <c r="K1632">
        <v>0</v>
      </c>
      <c r="O1632" t="s">
        <v>30</v>
      </c>
      <c r="P1632" t="s">
        <v>107</v>
      </c>
      <c r="Q1632" t="s">
        <v>21</v>
      </c>
    </row>
    <row r="1633" spans="1:17" x14ac:dyDescent="0.25">
      <c r="A1633" t="s">
        <v>1458</v>
      </c>
      <c r="B1633" t="s">
        <v>1459</v>
      </c>
      <c r="C1633" t="s">
        <v>41</v>
      </c>
      <c r="D1633">
        <v>47.924169999999997</v>
      </c>
      <c r="E1633">
        <v>-112.76527</v>
      </c>
      <c r="F1633">
        <v>5600</v>
      </c>
      <c r="K1633">
        <v>0</v>
      </c>
      <c r="O1633" t="s">
        <v>57</v>
      </c>
      <c r="Q1633" t="s">
        <v>21</v>
      </c>
    </row>
    <row r="1634" spans="1:17" x14ac:dyDescent="0.25">
      <c r="A1634" t="s">
        <v>49</v>
      </c>
      <c r="B1634" t="s">
        <v>50</v>
      </c>
      <c r="C1634" t="s">
        <v>47</v>
      </c>
      <c r="D1634">
        <v>35.085000000000001</v>
      </c>
      <c r="E1634">
        <v>-98.243049999999997</v>
      </c>
      <c r="K1634">
        <v>0</v>
      </c>
      <c r="O1634" t="s">
        <v>51</v>
      </c>
      <c r="Q1634" t="s">
        <v>21</v>
      </c>
    </row>
    <row r="1635" spans="1:17" x14ac:dyDescent="0.25">
      <c r="A1635" t="s">
        <v>1462</v>
      </c>
      <c r="B1635" t="s">
        <v>1463</v>
      </c>
      <c r="C1635" t="s">
        <v>47</v>
      </c>
      <c r="D1635">
        <v>35.626390000000001</v>
      </c>
      <c r="E1635">
        <v>-99.668049999999994</v>
      </c>
      <c r="K1635">
        <v>0</v>
      </c>
      <c r="O1635" t="s">
        <v>51</v>
      </c>
      <c r="Q1635" t="s">
        <v>21</v>
      </c>
    </row>
    <row r="1636" spans="1:17" x14ac:dyDescent="0.25">
      <c r="A1636" t="s">
        <v>1508</v>
      </c>
      <c r="B1636" t="s">
        <v>1509</v>
      </c>
      <c r="C1636" t="s">
        <v>26</v>
      </c>
      <c r="D1636">
        <v>41.91778</v>
      </c>
      <c r="E1636">
        <v>-103.48416</v>
      </c>
      <c r="F1636">
        <v>4144</v>
      </c>
      <c r="K1636">
        <v>0</v>
      </c>
      <c r="O1636" t="s">
        <v>118</v>
      </c>
      <c r="Q1636" t="s">
        <v>21</v>
      </c>
    </row>
    <row r="1637" spans="1:17" x14ac:dyDescent="0.25">
      <c r="A1637" t="s">
        <v>1478</v>
      </c>
      <c r="B1637" t="s">
        <v>1479</v>
      </c>
      <c r="C1637" t="s">
        <v>37</v>
      </c>
      <c r="D1637">
        <v>42.468890000000002</v>
      </c>
      <c r="E1637">
        <v>-104.96554999999999</v>
      </c>
      <c r="F1637">
        <v>4780</v>
      </c>
      <c r="K1637">
        <v>0</v>
      </c>
      <c r="O1637" t="s">
        <v>118</v>
      </c>
      <c r="Q1637" t="s">
        <v>21</v>
      </c>
    </row>
    <row r="1638" spans="1:17" x14ac:dyDescent="0.25">
      <c r="A1638" t="s">
        <v>650</v>
      </c>
      <c r="B1638" t="s">
        <v>651</v>
      </c>
      <c r="C1638" t="s">
        <v>37</v>
      </c>
      <c r="D1638">
        <v>42.288609999999998</v>
      </c>
      <c r="E1638">
        <v>-104.7625</v>
      </c>
      <c r="F1638">
        <v>4480</v>
      </c>
      <c r="K1638">
        <v>0</v>
      </c>
      <c r="O1638" t="s">
        <v>118</v>
      </c>
      <c r="Q1638" t="s">
        <v>21</v>
      </c>
    </row>
    <row r="1639" spans="1:17" x14ac:dyDescent="0.25">
      <c r="A1639" t="s">
        <v>1516</v>
      </c>
      <c r="B1639" t="s">
        <v>1517</v>
      </c>
      <c r="C1639" t="s">
        <v>37</v>
      </c>
      <c r="D1639">
        <v>42.471670000000003</v>
      </c>
      <c r="E1639">
        <v>-106.85222</v>
      </c>
      <c r="F1639">
        <v>5920</v>
      </c>
      <c r="K1639">
        <v>0</v>
      </c>
      <c r="O1639" t="s">
        <v>118</v>
      </c>
      <c r="Q1639" t="s">
        <v>21</v>
      </c>
    </row>
    <row r="1640" spans="1:17" x14ac:dyDescent="0.25">
      <c r="A1640" t="s">
        <v>1550</v>
      </c>
      <c r="B1640" t="s">
        <v>1551</v>
      </c>
      <c r="C1640" t="s">
        <v>37</v>
      </c>
      <c r="D1640">
        <v>42.155560000000001</v>
      </c>
      <c r="E1640">
        <v>-106.91417</v>
      </c>
      <c r="F1640">
        <v>6175</v>
      </c>
      <c r="K1640">
        <v>0</v>
      </c>
      <c r="O1640" t="s">
        <v>118</v>
      </c>
      <c r="Q1640" t="s">
        <v>21</v>
      </c>
    </row>
    <row r="1641" spans="1:17" x14ac:dyDescent="0.25">
      <c r="A1641" t="s">
        <v>1554</v>
      </c>
      <c r="B1641" t="s">
        <v>1555</v>
      </c>
      <c r="C1641" t="s">
        <v>37</v>
      </c>
      <c r="D1641">
        <v>42.248049999999999</v>
      </c>
      <c r="E1641">
        <v>-104.62778</v>
      </c>
      <c r="F1641">
        <v>4300</v>
      </c>
      <c r="K1641">
        <v>0</v>
      </c>
      <c r="O1641" t="s">
        <v>118</v>
      </c>
      <c r="Q1641" t="s">
        <v>21</v>
      </c>
    </row>
    <row r="1642" spans="1:17" x14ac:dyDescent="0.25">
      <c r="A1642" t="s">
        <v>1466</v>
      </c>
      <c r="B1642" t="s">
        <v>1467</v>
      </c>
      <c r="C1642" t="s">
        <v>37</v>
      </c>
      <c r="D1642">
        <v>41.166670000000003</v>
      </c>
      <c r="E1642">
        <v>-106.93333</v>
      </c>
      <c r="F1642">
        <v>9250</v>
      </c>
      <c r="K1642">
        <v>0</v>
      </c>
      <c r="O1642" t="s">
        <v>57</v>
      </c>
      <c r="Q1642" t="s">
        <v>21</v>
      </c>
    </row>
    <row r="1643" spans="1:17" x14ac:dyDescent="0.25">
      <c r="A1643" t="s">
        <v>3383</v>
      </c>
      <c r="B1643" t="s">
        <v>3384</v>
      </c>
      <c r="C1643" t="s">
        <v>1622</v>
      </c>
      <c r="D1643">
        <v>40.737200000000001</v>
      </c>
      <c r="E1643">
        <v>-111.24720000000001</v>
      </c>
      <c r="F1643">
        <v>6640</v>
      </c>
      <c r="G1643" t="s">
        <v>1576</v>
      </c>
      <c r="K1643">
        <v>0</v>
      </c>
      <c r="O1643" t="s">
        <v>51</v>
      </c>
      <c r="Q1643" t="s">
        <v>2284</v>
      </c>
    </row>
    <row r="1644" spans="1:17" x14ac:dyDescent="0.25">
      <c r="A1644" t="s">
        <v>1464</v>
      </c>
      <c r="B1644" t="s">
        <v>1465</v>
      </c>
      <c r="C1644" t="s">
        <v>44</v>
      </c>
      <c r="D1644">
        <v>39.391390000000001</v>
      </c>
      <c r="E1644">
        <v>-99.425830000000005</v>
      </c>
      <c r="K1644">
        <v>0</v>
      </c>
      <c r="O1644" t="s">
        <v>30</v>
      </c>
      <c r="P1644" t="s">
        <v>107</v>
      </c>
      <c r="Q1644" t="s">
        <v>21</v>
      </c>
    </row>
    <row r="1645" spans="1:17" x14ac:dyDescent="0.25">
      <c r="A1645" t="s">
        <v>2255</v>
      </c>
      <c r="B1645" t="s">
        <v>2256</v>
      </c>
      <c r="C1645" t="s">
        <v>1987</v>
      </c>
      <c r="D1645">
        <v>32.880000000000003</v>
      </c>
      <c r="E1645">
        <v>-114.46</v>
      </c>
      <c r="F1645">
        <v>168.84</v>
      </c>
      <c r="G1645" t="s">
        <v>1576</v>
      </c>
      <c r="K1645">
        <v>0</v>
      </c>
      <c r="O1645" t="s">
        <v>20</v>
      </c>
      <c r="Q1645" t="s">
        <v>1988</v>
      </c>
    </row>
    <row r="1646" spans="1:17" x14ac:dyDescent="0.25">
      <c r="A1646" t="s">
        <v>3385</v>
      </c>
      <c r="B1646" t="s">
        <v>3386</v>
      </c>
      <c r="C1646" t="s">
        <v>19</v>
      </c>
      <c r="D1646">
        <v>37.471699999999998</v>
      </c>
      <c r="E1646">
        <v>-107.2325</v>
      </c>
      <c r="F1646">
        <v>7957.86</v>
      </c>
      <c r="G1646" t="s">
        <v>1576</v>
      </c>
      <c r="K1646">
        <v>0</v>
      </c>
      <c r="O1646" t="s">
        <v>51</v>
      </c>
      <c r="Q1646" t="s">
        <v>2284</v>
      </c>
    </row>
    <row r="1647" spans="1:17" x14ac:dyDescent="0.25">
      <c r="A1647" t="s">
        <v>3387</v>
      </c>
      <c r="B1647" t="s">
        <v>3388</v>
      </c>
      <c r="C1647" t="s">
        <v>2283</v>
      </c>
      <c r="D1647">
        <v>35.7667</v>
      </c>
      <c r="E1647">
        <v>-105.5333</v>
      </c>
      <c r="F1647">
        <v>11120</v>
      </c>
      <c r="G1647" t="s">
        <v>1576</v>
      </c>
      <c r="K1647">
        <v>0</v>
      </c>
      <c r="O1647" t="s">
        <v>57</v>
      </c>
      <c r="Q1647" t="s">
        <v>2284</v>
      </c>
    </row>
    <row r="1648" spans="1:17" x14ac:dyDescent="0.25">
      <c r="A1648" t="s">
        <v>3389</v>
      </c>
      <c r="B1648" t="s">
        <v>3390</v>
      </c>
      <c r="C1648" t="s">
        <v>19</v>
      </c>
      <c r="D1648">
        <v>37.3919</v>
      </c>
      <c r="E1648">
        <v>-106.9067</v>
      </c>
      <c r="F1648">
        <v>7645</v>
      </c>
      <c r="G1648" t="s">
        <v>1576</v>
      </c>
      <c r="K1648">
        <v>0</v>
      </c>
      <c r="O1648" t="s">
        <v>51</v>
      </c>
      <c r="Q1648" t="s">
        <v>2284</v>
      </c>
    </row>
    <row r="1649" spans="1:17" x14ac:dyDescent="0.25">
      <c r="A1649" t="s">
        <v>3391</v>
      </c>
      <c r="B1649" t="s">
        <v>3392</v>
      </c>
      <c r="C1649" t="s">
        <v>19</v>
      </c>
      <c r="D1649">
        <v>37.381700000000002</v>
      </c>
      <c r="E1649">
        <v>-108.25749999999999</v>
      </c>
      <c r="F1649">
        <v>7455</v>
      </c>
      <c r="G1649" t="s">
        <v>1576</v>
      </c>
      <c r="K1649">
        <v>0</v>
      </c>
      <c r="O1649" t="s">
        <v>51</v>
      </c>
      <c r="Q1649" t="s">
        <v>2284</v>
      </c>
    </row>
    <row r="1650" spans="1:17" x14ac:dyDescent="0.25">
      <c r="A1650" t="s">
        <v>3393</v>
      </c>
      <c r="B1650" t="s">
        <v>3394</v>
      </c>
      <c r="C1650" t="s">
        <v>19</v>
      </c>
      <c r="D1650">
        <v>39.630600000000001</v>
      </c>
      <c r="E1650">
        <v>-107.77719999999999</v>
      </c>
      <c r="F1650">
        <v>6000</v>
      </c>
      <c r="G1650" t="s">
        <v>1576</v>
      </c>
      <c r="K1650">
        <v>0</v>
      </c>
      <c r="O1650" t="s">
        <v>51</v>
      </c>
      <c r="Q1650" t="s">
        <v>2284</v>
      </c>
    </row>
    <row r="1651" spans="1:17" x14ac:dyDescent="0.25">
      <c r="A1651" t="s">
        <v>1558</v>
      </c>
      <c r="B1651" t="s">
        <v>1559</v>
      </c>
      <c r="C1651" t="s">
        <v>41</v>
      </c>
      <c r="D1651">
        <v>44.666670000000003</v>
      </c>
      <c r="E1651">
        <v>-111.1</v>
      </c>
      <c r="F1651">
        <v>6700</v>
      </c>
      <c r="K1651">
        <v>0</v>
      </c>
      <c r="O1651" t="s">
        <v>57</v>
      </c>
      <c r="Q1651" t="s">
        <v>21</v>
      </c>
    </row>
    <row r="1652" spans="1:17" x14ac:dyDescent="0.25">
      <c r="A1652" t="s">
        <v>1546</v>
      </c>
      <c r="B1652" t="s">
        <v>1547</v>
      </c>
      <c r="C1652" t="s">
        <v>26</v>
      </c>
      <c r="D1652">
        <v>41.986109999999996</v>
      </c>
      <c r="E1652">
        <v>-103.80112</v>
      </c>
      <c r="K1652">
        <v>0</v>
      </c>
      <c r="O1652" t="s">
        <v>20</v>
      </c>
      <c r="Q1652" t="s">
        <v>21</v>
      </c>
    </row>
    <row r="1653" spans="1:17" x14ac:dyDescent="0.25">
      <c r="A1653" t="s">
        <v>3397</v>
      </c>
      <c r="B1653" t="s">
        <v>3398</v>
      </c>
      <c r="C1653" t="s">
        <v>19</v>
      </c>
      <c r="D1653">
        <v>37.485599999999998</v>
      </c>
      <c r="E1653">
        <v>-106.9297</v>
      </c>
      <c r="F1653">
        <v>8400</v>
      </c>
      <c r="G1653" t="s">
        <v>1576</v>
      </c>
      <c r="K1653">
        <v>0</v>
      </c>
      <c r="O1653" t="s">
        <v>51</v>
      </c>
      <c r="Q1653" t="s">
        <v>2284</v>
      </c>
    </row>
    <row r="1654" spans="1:17" x14ac:dyDescent="0.25">
      <c r="A1654" t="s">
        <v>1542</v>
      </c>
      <c r="B1654" t="s">
        <v>1543</v>
      </c>
      <c r="C1654" t="s">
        <v>86</v>
      </c>
      <c r="D1654">
        <v>35.433329999999998</v>
      </c>
      <c r="E1654">
        <v>-100.26667</v>
      </c>
      <c r="F1654">
        <v>2527</v>
      </c>
      <c r="K1654">
        <v>0</v>
      </c>
      <c r="O1654" t="s">
        <v>118</v>
      </c>
      <c r="Q1654" t="s">
        <v>21</v>
      </c>
    </row>
    <row r="1655" spans="1:17" x14ac:dyDescent="0.25">
      <c r="A1655" t="s">
        <v>3399</v>
      </c>
      <c r="B1655" t="s">
        <v>3400</v>
      </c>
      <c r="C1655" t="s">
        <v>19</v>
      </c>
      <c r="D1655">
        <v>37.213999999999999</v>
      </c>
      <c r="E1655">
        <v>-105.1224</v>
      </c>
      <c r="F1655">
        <v>10220</v>
      </c>
      <c r="G1655" t="s">
        <v>1576</v>
      </c>
      <c r="K1655">
        <v>0</v>
      </c>
      <c r="O1655" t="s">
        <v>57</v>
      </c>
      <c r="Q1655" t="s">
        <v>2284</v>
      </c>
    </row>
    <row r="1656" spans="1:17" x14ac:dyDescent="0.25">
      <c r="A1656" t="s">
        <v>1544</v>
      </c>
      <c r="B1656" t="s">
        <v>1545</v>
      </c>
      <c r="C1656" t="s">
        <v>41</v>
      </c>
      <c r="D1656">
        <v>44.6</v>
      </c>
      <c r="E1656">
        <v>-111.15</v>
      </c>
      <c r="F1656">
        <v>6800</v>
      </c>
      <c r="K1656">
        <v>0</v>
      </c>
      <c r="O1656" t="s">
        <v>57</v>
      </c>
      <c r="Q1656" t="s">
        <v>21</v>
      </c>
    </row>
    <row r="1657" spans="1:17" x14ac:dyDescent="0.25">
      <c r="A1657" t="s">
        <v>3401</v>
      </c>
      <c r="B1657" t="s">
        <v>3402</v>
      </c>
      <c r="C1657" t="s">
        <v>37</v>
      </c>
      <c r="D1657">
        <v>41</v>
      </c>
      <c r="E1657">
        <v>-106.9</v>
      </c>
      <c r="F1657">
        <v>8950</v>
      </c>
      <c r="G1657" t="s">
        <v>1576</v>
      </c>
      <c r="K1657">
        <v>0</v>
      </c>
      <c r="O1657" t="s">
        <v>57</v>
      </c>
      <c r="Q1657" t="s">
        <v>2284</v>
      </c>
    </row>
    <row r="1658" spans="1:17" x14ac:dyDescent="0.25">
      <c r="A1658" t="s">
        <v>3524</v>
      </c>
      <c r="B1658" t="s">
        <v>3525</v>
      </c>
      <c r="C1658" t="s">
        <v>1643</v>
      </c>
      <c r="D1658">
        <v>40.597999999999999</v>
      </c>
      <c r="E1658">
        <v>-122.53700000000001</v>
      </c>
      <c r="F1658">
        <v>1210</v>
      </c>
      <c r="G1658" t="s">
        <v>1589</v>
      </c>
      <c r="K1658">
        <v>0</v>
      </c>
      <c r="O1658" t="s">
        <v>30</v>
      </c>
      <c r="Q1658" t="s">
        <v>3478</v>
      </c>
    </row>
    <row r="1659" spans="1:17" x14ac:dyDescent="0.25">
      <c r="A1659" t="s">
        <v>1480</v>
      </c>
      <c r="B1659" t="s">
        <v>1481</v>
      </c>
      <c r="C1659" t="s">
        <v>410</v>
      </c>
      <c r="D1659">
        <v>44.533329999999999</v>
      </c>
      <c r="E1659">
        <v>-111.58334000000001</v>
      </c>
      <c r="F1659">
        <v>7710</v>
      </c>
      <c r="K1659">
        <v>0</v>
      </c>
      <c r="O1659" t="s">
        <v>57</v>
      </c>
      <c r="Q1659" t="s">
        <v>21</v>
      </c>
    </row>
    <row r="1660" spans="1:17" x14ac:dyDescent="0.25">
      <c r="A1660" t="s">
        <v>1482</v>
      </c>
      <c r="B1660" t="s">
        <v>1483</v>
      </c>
      <c r="C1660" t="s">
        <v>41</v>
      </c>
      <c r="D1660">
        <v>45.05</v>
      </c>
      <c r="E1660">
        <v>-109.9</v>
      </c>
      <c r="F1660">
        <v>8700</v>
      </c>
      <c r="K1660">
        <v>0</v>
      </c>
      <c r="O1660" t="s">
        <v>57</v>
      </c>
      <c r="Q1660" t="s">
        <v>21</v>
      </c>
    </row>
    <row r="1661" spans="1:17" x14ac:dyDescent="0.25">
      <c r="A1661" t="s">
        <v>3403</v>
      </c>
      <c r="B1661" t="s">
        <v>3404</v>
      </c>
      <c r="C1661" t="s">
        <v>1622</v>
      </c>
      <c r="D1661">
        <v>39.966700000000003</v>
      </c>
      <c r="E1661">
        <v>-110.9833</v>
      </c>
      <c r="F1661">
        <v>8550</v>
      </c>
      <c r="G1661" t="s">
        <v>1576</v>
      </c>
      <c r="K1661">
        <v>0</v>
      </c>
      <c r="O1661" t="s">
        <v>57</v>
      </c>
      <c r="Q1661" t="s">
        <v>2284</v>
      </c>
    </row>
    <row r="1662" spans="1:17" x14ac:dyDescent="0.25">
      <c r="A1662" t="s">
        <v>3405</v>
      </c>
      <c r="B1662" t="s">
        <v>3406</v>
      </c>
      <c r="C1662" t="s">
        <v>1622</v>
      </c>
      <c r="D1662">
        <v>39.978900000000003</v>
      </c>
      <c r="E1662">
        <v>-109.1781</v>
      </c>
      <c r="F1662">
        <v>4946.78</v>
      </c>
      <c r="G1662" t="s">
        <v>1576</v>
      </c>
      <c r="K1662">
        <v>0</v>
      </c>
      <c r="O1662" t="s">
        <v>51</v>
      </c>
      <c r="Q1662" t="s">
        <v>2284</v>
      </c>
    </row>
    <row r="1663" spans="1:17" x14ac:dyDescent="0.25">
      <c r="A1663" t="s">
        <v>1548</v>
      </c>
      <c r="B1663" t="s">
        <v>1549</v>
      </c>
      <c r="C1663" t="s">
        <v>41</v>
      </c>
      <c r="D1663">
        <v>46.553330000000003</v>
      </c>
      <c r="E1663">
        <v>-110.94667</v>
      </c>
      <c r="F1663">
        <v>4969</v>
      </c>
      <c r="K1663">
        <v>0</v>
      </c>
      <c r="O1663" t="s">
        <v>151</v>
      </c>
      <c r="Q1663" t="s">
        <v>21</v>
      </c>
    </row>
    <row r="1664" spans="1:17" x14ac:dyDescent="0.25">
      <c r="A1664" t="s">
        <v>3407</v>
      </c>
      <c r="B1664" t="s">
        <v>3408</v>
      </c>
      <c r="C1664" t="s">
        <v>1622</v>
      </c>
      <c r="D1664">
        <v>37.833300000000001</v>
      </c>
      <c r="E1664">
        <v>-111.88330000000001</v>
      </c>
      <c r="F1664">
        <v>9500</v>
      </c>
      <c r="G1664" t="s">
        <v>1576</v>
      </c>
      <c r="K1664">
        <v>0</v>
      </c>
      <c r="O1664" t="s">
        <v>57</v>
      </c>
      <c r="Q1664" t="s">
        <v>2284</v>
      </c>
    </row>
    <row r="1665" spans="1:17" x14ac:dyDescent="0.25">
      <c r="A1665" t="s">
        <v>1502</v>
      </c>
      <c r="B1665" t="s">
        <v>1503</v>
      </c>
      <c r="C1665" t="s">
        <v>19</v>
      </c>
      <c r="D1665">
        <v>40.208889999999997</v>
      </c>
      <c r="E1665">
        <v>-105.56556</v>
      </c>
      <c r="F1665">
        <v>8526</v>
      </c>
      <c r="K1665">
        <v>0</v>
      </c>
      <c r="O1665" t="s">
        <v>57</v>
      </c>
      <c r="Q1665" t="s">
        <v>21</v>
      </c>
    </row>
    <row r="1666" spans="1:17" x14ac:dyDescent="0.25">
      <c r="A1666" t="s">
        <v>3409</v>
      </c>
      <c r="B1666" t="s">
        <v>3410</v>
      </c>
      <c r="C1666" t="s">
        <v>1622</v>
      </c>
      <c r="D1666">
        <v>41.23</v>
      </c>
      <c r="E1666">
        <v>-112.06</v>
      </c>
      <c r="F1666">
        <v>4226</v>
      </c>
      <c r="G1666" t="s">
        <v>1576</v>
      </c>
      <c r="K1666">
        <v>0</v>
      </c>
      <c r="O1666" t="s">
        <v>30</v>
      </c>
      <c r="Q1666" t="s">
        <v>2284</v>
      </c>
    </row>
    <row r="1667" spans="1:17" x14ac:dyDescent="0.25">
      <c r="A1667" t="s">
        <v>3411</v>
      </c>
      <c r="B1667" t="s">
        <v>3412</v>
      </c>
      <c r="C1667" t="s">
        <v>19</v>
      </c>
      <c r="D1667">
        <v>37.4617</v>
      </c>
      <c r="E1667">
        <v>-107.1978</v>
      </c>
      <c r="F1667">
        <v>7810</v>
      </c>
      <c r="G1667" t="s">
        <v>1576</v>
      </c>
      <c r="K1667">
        <v>0</v>
      </c>
      <c r="O1667" t="s">
        <v>51</v>
      </c>
      <c r="Q1667" t="s">
        <v>2284</v>
      </c>
    </row>
    <row r="1668" spans="1:17" x14ac:dyDescent="0.25">
      <c r="A1668" t="s">
        <v>3415</v>
      </c>
      <c r="B1668" t="s">
        <v>3416</v>
      </c>
      <c r="C1668" t="s">
        <v>19</v>
      </c>
      <c r="D1668">
        <v>40</v>
      </c>
      <c r="E1668">
        <v>-106.1803</v>
      </c>
      <c r="F1668">
        <v>7809</v>
      </c>
      <c r="G1668" t="s">
        <v>1576</v>
      </c>
      <c r="K1668">
        <v>0</v>
      </c>
      <c r="O1668" t="s">
        <v>51</v>
      </c>
      <c r="Q1668" t="s">
        <v>2284</v>
      </c>
    </row>
    <row r="1669" spans="1:17" x14ac:dyDescent="0.25">
      <c r="A1669" t="s">
        <v>3413</v>
      </c>
      <c r="B1669" t="s">
        <v>3414</v>
      </c>
      <c r="C1669" t="s">
        <v>19</v>
      </c>
      <c r="D1669">
        <v>40.000100000000003</v>
      </c>
      <c r="E1669">
        <v>-106.1045</v>
      </c>
      <c r="F1669">
        <v>7808.95</v>
      </c>
      <c r="G1669" t="s">
        <v>1576</v>
      </c>
      <c r="K1669">
        <v>0</v>
      </c>
      <c r="O1669" t="s">
        <v>30</v>
      </c>
      <c r="Q1669" t="s">
        <v>2284</v>
      </c>
    </row>
    <row r="1670" spans="1:17" x14ac:dyDescent="0.25">
      <c r="A1670" t="s">
        <v>1898</v>
      </c>
      <c r="B1670" t="s">
        <v>1899</v>
      </c>
      <c r="C1670" t="s">
        <v>410</v>
      </c>
      <c r="D1670">
        <v>43.582139400000003</v>
      </c>
      <c r="E1670">
        <v>-111.74284110000001</v>
      </c>
      <c r="F1670">
        <v>5119</v>
      </c>
      <c r="G1670" t="s">
        <v>1576</v>
      </c>
      <c r="I1670">
        <v>0</v>
      </c>
      <c r="J1670" t="s">
        <v>1594</v>
      </c>
      <c r="K1670">
        <v>0</v>
      </c>
      <c r="O1670" t="s">
        <v>51</v>
      </c>
      <c r="P1670" t="s">
        <v>1585</v>
      </c>
      <c r="Q1670" t="s">
        <v>1580</v>
      </c>
    </row>
    <row r="1671" spans="1:17" x14ac:dyDescent="0.25">
      <c r="A1671" t="s">
        <v>1492</v>
      </c>
      <c r="B1671" t="s">
        <v>1493</v>
      </c>
      <c r="C1671" t="s">
        <v>19</v>
      </c>
      <c r="D1671">
        <v>40.14584</v>
      </c>
      <c r="E1671">
        <v>-105.94</v>
      </c>
      <c r="K1671">
        <v>0</v>
      </c>
      <c r="O1671" t="s">
        <v>51</v>
      </c>
      <c r="Q1671" t="s">
        <v>21</v>
      </c>
    </row>
    <row r="1672" spans="1:17" x14ac:dyDescent="0.25">
      <c r="A1672" t="s">
        <v>1468</v>
      </c>
      <c r="B1672" t="s">
        <v>1469</v>
      </c>
      <c r="C1672" t="s">
        <v>41</v>
      </c>
      <c r="D1672">
        <v>47.544449999999998</v>
      </c>
      <c r="E1672">
        <v>-112.42777</v>
      </c>
      <c r="K1672">
        <v>0</v>
      </c>
      <c r="O1672" t="s">
        <v>34</v>
      </c>
      <c r="Q1672" t="s">
        <v>21</v>
      </c>
    </row>
    <row r="1673" spans="1:17" x14ac:dyDescent="0.25">
      <c r="A1673" t="s">
        <v>3419</v>
      </c>
      <c r="B1673" t="s">
        <v>3420</v>
      </c>
      <c r="C1673" t="s">
        <v>19</v>
      </c>
      <c r="D1673">
        <v>40.35</v>
      </c>
      <c r="E1673">
        <v>-106.1</v>
      </c>
      <c r="F1673">
        <v>9540</v>
      </c>
      <c r="G1673" t="s">
        <v>1576</v>
      </c>
      <c r="K1673">
        <v>0</v>
      </c>
      <c r="O1673" t="s">
        <v>57</v>
      </c>
      <c r="Q1673" t="s">
        <v>2284</v>
      </c>
    </row>
    <row r="1674" spans="1:17" x14ac:dyDescent="0.25">
      <c r="A1674" t="s">
        <v>1504</v>
      </c>
      <c r="B1674" t="s">
        <v>1505</v>
      </c>
      <c r="C1674" t="s">
        <v>19</v>
      </c>
      <c r="D1674">
        <v>40.333329999999997</v>
      </c>
      <c r="E1674">
        <v>-106.1</v>
      </c>
      <c r="F1674">
        <v>9540</v>
      </c>
      <c r="K1674">
        <v>0</v>
      </c>
      <c r="O1674" t="s">
        <v>57</v>
      </c>
      <c r="Q1674" t="s">
        <v>21</v>
      </c>
    </row>
    <row r="1675" spans="1:17" x14ac:dyDescent="0.25">
      <c r="A1675" t="s">
        <v>1486</v>
      </c>
      <c r="B1675" t="s">
        <v>1487</v>
      </c>
      <c r="C1675" t="s">
        <v>19</v>
      </c>
      <c r="D1675">
        <v>40.144170000000003</v>
      </c>
      <c r="E1675">
        <v>-105.90278000000001</v>
      </c>
      <c r="K1675">
        <v>0</v>
      </c>
      <c r="O1675" t="s">
        <v>34</v>
      </c>
      <c r="Q1675" t="s">
        <v>21</v>
      </c>
    </row>
    <row r="1676" spans="1:17" x14ac:dyDescent="0.25">
      <c r="A1676" t="s">
        <v>3417</v>
      </c>
      <c r="B1676" t="s">
        <v>3418</v>
      </c>
      <c r="C1676" t="s">
        <v>19</v>
      </c>
      <c r="D1676">
        <v>40.0075</v>
      </c>
      <c r="E1676">
        <v>-105.94</v>
      </c>
      <c r="F1676">
        <v>8100</v>
      </c>
      <c r="G1676" t="s">
        <v>1576</v>
      </c>
      <c r="K1676">
        <v>0</v>
      </c>
      <c r="O1676" t="s">
        <v>30</v>
      </c>
      <c r="Q1676" t="s">
        <v>2284</v>
      </c>
    </row>
    <row r="1677" spans="1:17" x14ac:dyDescent="0.25">
      <c r="A1677" t="s">
        <v>1472</v>
      </c>
      <c r="B1677" t="s">
        <v>1473</v>
      </c>
      <c r="C1677" t="s">
        <v>41</v>
      </c>
      <c r="D1677">
        <v>47.546669999999999</v>
      </c>
      <c r="E1677">
        <v>-112.42916</v>
      </c>
      <c r="K1677">
        <v>0</v>
      </c>
      <c r="O1677" t="s">
        <v>30</v>
      </c>
      <c r="P1677" t="s">
        <v>324</v>
      </c>
      <c r="Q1677" t="s">
        <v>21</v>
      </c>
    </row>
    <row r="1678" spans="1:17" x14ac:dyDescent="0.25">
      <c r="A1678" t="s">
        <v>1490</v>
      </c>
      <c r="B1678" t="s">
        <v>1491</v>
      </c>
      <c r="C1678" t="s">
        <v>19</v>
      </c>
      <c r="D1678">
        <v>40.147779999999997</v>
      </c>
      <c r="E1678">
        <v>-105.94195000000001</v>
      </c>
      <c r="K1678">
        <v>0</v>
      </c>
      <c r="O1678" t="s">
        <v>30</v>
      </c>
      <c r="P1678" t="s">
        <v>38</v>
      </c>
      <c r="Q1678" t="s">
        <v>21</v>
      </c>
    </row>
    <row r="1679" spans="1:17" x14ac:dyDescent="0.25">
      <c r="A1679" t="s">
        <v>1488</v>
      </c>
      <c r="B1679" t="s">
        <v>1489</v>
      </c>
      <c r="C1679" t="s">
        <v>19</v>
      </c>
      <c r="D1679">
        <v>40.147779999999997</v>
      </c>
      <c r="E1679">
        <v>-105.94139</v>
      </c>
      <c r="K1679">
        <v>0</v>
      </c>
      <c r="O1679" t="s">
        <v>30</v>
      </c>
      <c r="Q1679" t="s">
        <v>21</v>
      </c>
    </row>
    <row r="1680" spans="1:17" x14ac:dyDescent="0.25">
      <c r="A1680" t="s">
        <v>1532</v>
      </c>
      <c r="B1680" t="s">
        <v>1533</v>
      </c>
      <c r="C1680" t="s">
        <v>19</v>
      </c>
      <c r="D1680">
        <v>40.433329999999998</v>
      </c>
      <c r="E1680">
        <v>-105.73333</v>
      </c>
      <c r="F1680">
        <v>10750</v>
      </c>
      <c r="K1680">
        <v>0</v>
      </c>
      <c r="O1680" t="s">
        <v>57</v>
      </c>
      <c r="Q1680" t="s">
        <v>21</v>
      </c>
    </row>
    <row r="1681" spans="1:17" x14ac:dyDescent="0.25">
      <c r="A1681" t="s">
        <v>1476</v>
      </c>
      <c r="B1681" t="s">
        <v>1477</v>
      </c>
      <c r="C1681" t="s">
        <v>37</v>
      </c>
      <c r="D1681">
        <v>43.231670000000001</v>
      </c>
      <c r="E1681">
        <v>-109.02556</v>
      </c>
      <c r="K1681">
        <v>0</v>
      </c>
      <c r="O1681" t="s">
        <v>34</v>
      </c>
      <c r="Q1681" t="s">
        <v>21</v>
      </c>
    </row>
    <row r="1682" spans="1:17" x14ac:dyDescent="0.25">
      <c r="A1682" t="s">
        <v>1538</v>
      </c>
      <c r="B1682" t="s">
        <v>1539</v>
      </c>
      <c r="C1682" t="s">
        <v>37</v>
      </c>
      <c r="D1682">
        <v>43.128610000000002</v>
      </c>
      <c r="E1682">
        <v>-108.22444</v>
      </c>
      <c r="K1682">
        <v>0</v>
      </c>
      <c r="O1682" t="s">
        <v>51</v>
      </c>
      <c r="Q1682" t="s">
        <v>21</v>
      </c>
    </row>
    <row r="1683" spans="1:17" x14ac:dyDescent="0.25">
      <c r="A1683" t="s">
        <v>1522</v>
      </c>
      <c r="B1683" t="s">
        <v>1523</v>
      </c>
      <c r="C1683" t="s">
        <v>37</v>
      </c>
      <c r="D1683">
        <v>43.441670000000002</v>
      </c>
      <c r="E1683">
        <v>-109.45805</v>
      </c>
      <c r="K1683">
        <v>0</v>
      </c>
      <c r="O1683" t="s">
        <v>51</v>
      </c>
      <c r="Q1683" t="s">
        <v>21</v>
      </c>
    </row>
    <row r="1684" spans="1:17" x14ac:dyDescent="0.25">
      <c r="A1684" t="s">
        <v>1534</v>
      </c>
      <c r="B1684" t="s">
        <v>1535</v>
      </c>
      <c r="C1684" t="s">
        <v>37</v>
      </c>
      <c r="D1684">
        <v>43.010559999999998</v>
      </c>
      <c r="E1684">
        <v>-108.37555999999999</v>
      </c>
      <c r="K1684">
        <v>0</v>
      </c>
      <c r="O1684" t="s">
        <v>51</v>
      </c>
      <c r="Q1684" t="s">
        <v>21</v>
      </c>
    </row>
    <row r="1685" spans="1:17" x14ac:dyDescent="0.25">
      <c r="A1685" t="s">
        <v>1518</v>
      </c>
      <c r="B1685" t="s">
        <v>1519</v>
      </c>
      <c r="C1685" t="s">
        <v>37</v>
      </c>
      <c r="D1685">
        <v>43.424999999999997</v>
      </c>
      <c r="E1685">
        <v>-108.17833</v>
      </c>
      <c r="K1685">
        <v>0</v>
      </c>
      <c r="O1685" t="s">
        <v>51</v>
      </c>
      <c r="Q1685" t="s">
        <v>21</v>
      </c>
    </row>
    <row r="1686" spans="1:17" x14ac:dyDescent="0.25">
      <c r="A1686" t="s">
        <v>1540</v>
      </c>
      <c r="B1686" t="s">
        <v>1541</v>
      </c>
      <c r="C1686" t="s">
        <v>37</v>
      </c>
      <c r="D1686">
        <v>43.192219999999999</v>
      </c>
      <c r="E1686">
        <v>-108.80833</v>
      </c>
      <c r="K1686">
        <v>0</v>
      </c>
      <c r="O1686" t="s">
        <v>51</v>
      </c>
      <c r="Q1686" t="s">
        <v>21</v>
      </c>
    </row>
    <row r="1687" spans="1:17" x14ac:dyDescent="0.25">
      <c r="A1687" t="s">
        <v>1494</v>
      </c>
      <c r="B1687" t="s">
        <v>1495</v>
      </c>
      <c r="C1687" t="s">
        <v>19</v>
      </c>
      <c r="D1687">
        <v>40.327219999999997</v>
      </c>
      <c r="E1687">
        <v>-105.58139</v>
      </c>
      <c r="K1687">
        <v>0</v>
      </c>
      <c r="O1687" t="s">
        <v>51</v>
      </c>
      <c r="Q1687" t="s">
        <v>21</v>
      </c>
    </row>
    <row r="1688" spans="1:17" x14ac:dyDescent="0.25">
      <c r="A1688" t="s">
        <v>1474</v>
      </c>
      <c r="B1688" t="s">
        <v>1475</v>
      </c>
      <c r="C1688" t="s">
        <v>37</v>
      </c>
      <c r="D1688">
        <v>43.229170000000003</v>
      </c>
      <c r="E1688">
        <v>-108.96666999999999</v>
      </c>
      <c r="K1688">
        <v>0</v>
      </c>
      <c r="O1688" t="s">
        <v>20</v>
      </c>
      <c r="Q1688" t="s">
        <v>21</v>
      </c>
    </row>
    <row r="1689" spans="1:17" x14ac:dyDescent="0.25">
      <c r="A1689" t="s">
        <v>1520</v>
      </c>
      <c r="B1689" t="s">
        <v>1521</v>
      </c>
      <c r="C1689" t="s">
        <v>37</v>
      </c>
      <c r="D1689">
        <v>43.2425</v>
      </c>
      <c r="E1689">
        <v>-109.00972</v>
      </c>
      <c r="K1689">
        <v>0</v>
      </c>
      <c r="O1689" t="s">
        <v>51</v>
      </c>
      <c r="Q1689" t="s">
        <v>21</v>
      </c>
    </row>
    <row r="1690" spans="1:17" x14ac:dyDescent="0.25">
      <c r="A1690" t="s">
        <v>1528</v>
      </c>
      <c r="B1690" t="s">
        <v>1529</v>
      </c>
      <c r="C1690" t="s">
        <v>37</v>
      </c>
      <c r="D1690">
        <v>43.578609999999998</v>
      </c>
      <c r="E1690">
        <v>-109.75915999999999</v>
      </c>
      <c r="K1690">
        <v>0</v>
      </c>
      <c r="O1690" t="s">
        <v>51</v>
      </c>
      <c r="Q1690" t="s">
        <v>21</v>
      </c>
    </row>
    <row r="1691" spans="1:17" x14ac:dyDescent="0.25">
      <c r="A1691" t="s">
        <v>1496</v>
      </c>
      <c r="B1691" t="s">
        <v>1497</v>
      </c>
      <c r="C1691" t="s">
        <v>19</v>
      </c>
      <c r="D1691">
        <v>40.327219999999997</v>
      </c>
      <c r="E1691">
        <v>-105.58194</v>
      </c>
      <c r="K1691">
        <v>0</v>
      </c>
      <c r="O1691" t="s">
        <v>51</v>
      </c>
      <c r="Q1691" t="s">
        <v>21</v>
      </c>
    </row>
    <row r="1692" spans="1:17" x14ac:dyDescent="0.25">
      <c r="A1692" t="s">
        <v>1526</v>
      </c>
      <c r="B1692" t="s">
        <v>1527</v>
      </c>
      <c r="C1692" t="s">
        <v>37</v>
      </c>
      <c r="D1692">
        <v>43.142780000000002</v>
      </c>
      <c r="E1692">
        <v>-108.70889</v>
      </c>
      <c r="K1692">
        <v>0</v>
      </c>
      <c r="O1692" t="s">
        <v>51</v>
      </c>
      <c r="Q1692" t="s">
        <v>21</v>
      </c>
    </row>
    <row r="1693" spans="1:17" x14ac:dyDescent="0.25">
      <c r="A1693" t="s">
        <v>3421</v>
      </c>
      <c r="B1693" t="s">
        <v>3422</v>
      </c>
      <c r="C1693" t="s">
        <v>19</v>
      </c>
      <c r="D1693">
        <v>37.4392</v>
      </c>
      <c r="E1693">
        <v>-106.8794</v>
      </c>
      <c r="F1693">
        <v>8030</v>
      </c>
      <c r="G1693" t="s">
        <v>1576</v>
      </c>
      <c r="K1693">
        <v>0</v>
      </c>
      <c r="O1693" t="s">
        <v>51</v>
      </c>
      <c r="Q1693" t="s">
        <v>2284</v>
      </c>
    </row>
    <row r="1694" spans="1:17" x14ac:dyDescent="0.25">
      <c r="A1694" t="s">
        <v>1510</v>
      </c>
      <c r="B1694" t="s">
        <v>1511</v>
      </c>
      <c r="C1694" t="s">
        <v>37</v>
      </c>
      <c r="D1694">
        <v>42.283329999999999</v>
      </c>
      <c r="E1694">
        <v>-105.58334000000001</v>
      </c>
      <c r="F1694">
        <v>7900</v>
      </c>
      <c r="K1694">
        <v>0</v>
      </c>
      <c r="O1694" t="s">
        <v>57</v>
      </c>
      <c r="Q1694" t="s">
        <v>21</v>
      </c>
    </row>
    <row r="1695" spans="1:17" x14ac:dyDescent="0.25">
      <c r="A1695" t="s">
        <v>1498</v>
      </c>
      <c r="B1695" t="s">
        <v>1499</v>
      </c>
      <c r="C1695" t="s">
        <v>19</v>
      </c>
      <c r="D1695">
        <v>39.888890000000004</v>
      </c>
      <c r="E1695">
        <v>-105.63028</v>
      </c>
      <c r="F1695">
        <v>9058</v>
      </c>
      <c r="K1695">
        <v>0</v>
      </c>
      <c r="O1695" t="s">
        <v>118</v>
      </c>
      <c r="Q1695" t="s">
        <v>21</v>
      </c>
    </row>
    <row r="1696" spans="1:17" x14ac:dyDescent="0.25">
      <c r="A1696" t="s">
        <v>1530</v>
      </c>
      <c r="B1696" t="s">
        <v>1531</v>
      </c>
      <c r="C1696" t="s">
        <v>26</v>
      </c>
      <c r="D1696">
        <v>41.958060000000003</v>
      </c>
      <c r="E1696">
        <v>-103.50111</v>
      </c>
      <c r="K1696">
        <v>0</v>
      </c>
      <c r="O1696" t="s">
        <v>34</v>
      </c>
      <c r="Q1696" t="s">
        <v>21</v>
      </c>
    </row>
    <row r="1697" spans="1:17" x14ac:dyDescent="0.25">
      <c r="A1697" t="s">
        <v>1470</v>
      </c>
      <c r="B1697" t="s">
        <v>1471</v>
      </c>
      <c r="C1697" t="s">
        <v>26</v>
      </c>
      <c r="D1697">
        <v>41.957500000000003</v>
      </c>
      <c r="E1697">
        <v>-103.53223</v>
      </c>
      <c r="K1697">
        <v>0</v>
      </c>
      <c r="O1697" t="s">
        <v>30</v>
      </c>
      <c r="P1697" t="s">
        <v>54</v>
      </c>
      <c r="Q1697" t="s">
        <v>21</v>
      </c>
    </row>
    <row r="1698" spans="1:17" x14ac:dyDescent="0.25">
      <c r="A1698" t="s">
        <v>3423</v>
      </c>
      <c r="B1698" t="s">
        <v>3424</v>
      </c>
      <c r="C1698" t="s">
        <v>19</v>
      </c>
      <c r="D1698">
        <v>37.441899999999997</v>
      </c>
      <c r="E1698">
        <v>-106.88639999999999</v>
      </c>
      <c r="F1698">
        <v>7830</v>
      </c>
      <c r="G1698" t="s">
        <v>1576</v>
      </c>
      <c r="K1698">
        <v>0</v>
      </c>
      <c r="O1698" t="s">
        <v>51</v>
      </c>
      <c r="Q1698" t="s">
        <v>2284</v>
      </c>
    </row>
    <row r="1699" spans="1:17" x14ac:dyDescent="0.25">
      <c r="A1699" t="s">
        <v>3425</v>
      </c>
      <c r="B1699" t="s">
        <v>3426</v>
      </c>
      <c r="C1699" t="s">
        <v>19</v>
      </c>
      <c r="D1699">
        <v>37.446399999999997</v>
      </c>
      <c r="E1699">
        <v>-106.88330000000001</v>
      </c>
      <c r="F1699">
        <v>7900</v>
      </c>
      <c r="G1699" t="s">
        <v>1576</v>
      </c>
      <c r="K1699">
        <v>0</v>
      </c>
      <c r="O1699" t="s">
        <v>51</v>
      </c>
      <c r="Q1699" t="s">
        <v>2284</v>
      </c>
    </row>
    <row r="1700" spans="1:17" x14ac:dyDescent="0.25">
      <c r="A1700" t="s">
        <v>3427</v>
      </c>
      <c r="B1700" t="s">
        <v>3428</v>
      </c>
      <c r="C1700" t="s">
        <v>19</v>
      </c>
      <c r="D1700">
        <v>37.4833</v>
      </c>
      <c r="E1700">
        <v>-106.8</v>
      </c>
      <c r="F1700">
        <v>11000</v>
      </c>
      <c r="G1700" t="s">
        <v>1576</v>
      </c>
      <c r="K1700">
        <v>0</v>
      </c>
      <c r="O1700" t="s">
        <v>57</v>
      </c>
      <c r="Q1700" t="s">
        <v>2284</v>
      </c>
    </row>
    <row r="1701" spans="1:17" x14ac:dyDescent="0.25">
      <c r="A1701" t="s">
        <v>1506</v>
      </c>
      <c r="B1701" t="s">
        <v>1507</v>
      </c>
      <c r="C1701" t="s">
        <v>37</v>
      </c>
      <c r="D1701">
        <v>44.8</v>
      </c>
      <c r="E1701">
        <v>-109.65</v>
      </c>
      <c r="F1701">
        <v>7650</v>
      </c>
      <c r="K1701">
        <v>0</v>
      </c>
      <c r="O1701" t="s">
        <v>57</v>
      </c>
      <c r="Q1701" t="s">
        <v>21</v>
      </c>
    </row>
    <row r="1702" spans="1:17" x14ac:dyDescent="0.25">
      <c r="A1702" t="s">
        <v>1512</v>
      </c>
      <c r="B1702" t="s">
        <v>1513</v>
      </c>
      <c r="C1702" t="s">
        <v>41</v>
      </c>
      <c r="D1702">
        <v>47.45</v>
      </c>
      <c r="E1702">
        <v>-112.81667</v>
      </c>
      <c r="F1702">
        <v>5960</v>
      </c>
      <c r="K1702">
        <v>0</v>
      </c>
      <c r="O1702" t="s">
        <v>57</v>
      </c>
      <c r="Q1702" t="s">
        <v>21</v>
      </c>
    </row>
    <row r="1703" spans="1:17" x14ac:dyDescent="0.25">
      <c r="A1703" t="s">
        <v>1983</v>
      </c>
      <c r="B1703" t="s">
        <v>1984</v>
      </c>
      <c r="C1703" t="s">
        <v>1588</v>
      </c>
      <c r="D1703">
        <v>42.012500000000003</v>
      </c>
      <c r="E1703">
        <v>-121.78749999999999</v>
      </c>
      <c r="F1703">
        <v>1243.58</v>
      </c>
      <c r="G1703" t="s">
        <v>1589</v>
      </c>
      <c r="H1703" s="1">
        <v>36635</v>
      </c>
      <c r="J1703" t="s">
        <v>1577</v>
      </c>
      <c r="K1703">
        <v>0</v>
      </c>
      <c r="L1703" t="s">
        <v>1578</v>
      </c>
      <c r="O1703" t="s">
        <v>151</v>
      </c>
      <c r="P1703" t="s">
        <v>1585</v>
      </c>
      <c r="Q1703" t="s">
        <v>1580</v>
      </c>
    </row>
    <row r="1704" spans="1:17" x14ac:dyDescent="0.25">
      <c r="A1704" t="s">
        <v>1552</v>
      </c>
      <c r="B1704" t="s">
        <v>1553</v>
      </c>
      <c r="C1704" t="s">
        <v>19</v>
      </c>
      <c r="D1704">
        <v>39.35416</v>
      </c>
      <c r="E1704">
        <v>-106.35250000000001</v>
      </c>
      <c r="K1704">
        <v>0</v>
      </c>
      <c r="O1704" t="s">
        <v>34</v>
      </c>
      <c r="Q1704" t="s">
        <v>21</v>
      </c>
    </row>
    <row r="1705" spans="1:17" x14ac:dyDescent="0.25">
      <c r="A1705" t="s">
        <v>1556</v>
      </c>
      <c r="B1705" t="s">
        <v>1557</v>
      </c>
      <c r="C1705" t="s">
        <v>37</v>
      </c>
      <c r="D1705">
        <v>43.231670000000001</v>
      </c>
      <c r="E1705">
        <v>-108.94833</v>
      </c>
      <c r="K1705">
        <v>0</v>
      </c>
      <c r="O1705" t="s">
        <v>34</v>
      </c>
      <c r="Q1705" t="s">
        <v>21</v>
      </c>
    </row>
    <row r="1706" spans="1:17" x14ac:dyDescent="0.25">
      <c r="A1706" t="s">
        <v>3429</v>
      </c>
      <c r="B1706" t="s">
        <v>3430</v>
      </c>
      <c r="C1706" t="s">
        <v>19</v>
      </c>
      <c r="D1706">
        <v>40.460799999999999</v>
      </c>
      <c r="E1706">
        <v>-108.425</v>
      </c>
      <c r="F1706">
        <v>5640</v>
      </c>
      <c r="G1706" t="s">
        <v>1576</v>
      </c>
      <c r="K1706">
        <v>0</v>
      </c>
      <c r="O1706" t="s">
        <v>51</v>
      </c>
      <c r="Q1706" t="s">
        <v>2284</v>
      </c>
    </row>
    <row r="1707" spans="1:17" x14ac:dyDescent="0.25">
      <c r="A1707" t="s">
        <v>3431</v>
      </c>
      <c r="B1707" t="s">
        <v>3432</v>
      </c>
      <c r="C1707" t="s">
        <v>19</v>
      </c>
      <c r="D1707">
        <v>40.451700000000002</v>
      </c>
      <c r="E1707">
        <v>-108.5244</v>
      </c>
      <c r="G1707" t="s">
        <v>1576</v>
      </c>
      <c r="K1707">
        <v>0</v>
      </c>
      <c r="O1707" t="s">
        <v>51</v>
      </c>
      <c r="Q1707" t="s">
        <v>2284</v>
      </c>
    </row>
    <row r="1708" spans="1:17" x14ac:dyDescent="0.25">
      <c r="A1708" t="s">
        <v>3433</v>
      </c>
      <c r="B1708" t="s">
        <v>3434</v>
      </c>
      <c r="C1708" t="s">
        <v>19</v>
      </c>
      <c r="D1708">
        <v>40.483600000000003</v>
      </c>
      <c r="E1708">
        <v>-106.8317</v>
      </c>
      <c r="G1708" t="s">
        <v>1576</v>
      </c>
      <c r="K1708">
        <v>0</v>
      </c>
      <c r="O1708" t="s">
        <v>51</v>
      </c>
      <c r="Q1708" t="s">
        <v>2284</v>
      </c>
    </row>
    <row r="1709" spans="1:17" x14ac:dyDescent="0.25">
      <c r="A1709" t="s">
        <v>3435</v>
      </c>
      <c r="B1709" t="s">
        <v>3436</v>
      </c>
      <c r="C1709" t="s">
        <v>19</v>
      </c>
      <c r="D1709">
        <v>40.480800000000002</v>
      </c>
      <c r="E1709">
        <v>-108.38639999999999</v>
      </c>
      <c r="G1709" t="s">
        <v>1576</v>
      </c>
      <c r="K1709">
        <v>0</v>
      </c>
      <c r="O1709" t="s">
        <v>51</v>
      </c>
      <c r="Q1709" t="s">
        <v>2284</v>
      </c>
    </row>
    <row r="1710" spans="1:17" x14ac:dyDescent="0.25">
      <c r="A1710" t="s">
        <v>3437</v>
      </c>
      <c r="B1710" t="s">
        <v>3438</v>
      </c>
      <c r="C1710" t="s">
        <v>19</v>
      </c>
      <c r="D1710">
        <v>40.502800000000001</v>
      </c>
      <c r="E1710">
        <v>-108.0292</v>
      </c>
      <c r="G1710" t="s">
        <v>1576</v>
      </c>
      <c r="K1710">
        <v>0</v>
      </c>
      <c r="O1710" t="s">
        <v>51</v>
      </c>
      <c r="Q1710" t="s">
        <v>2284</v>
      </c>
    </row>
    <row r="1711" spans="1:17" x14ac:dyDescent="0.25">
      <c r="A1711" t="s">
        <v>188</v>
      </c>
      <c r="B1711" t="s">
        <v>189</v>
      </c>
      <c r="C1711" t="s">
        <v>41</v>
      </c>
      <c r="D1711">
        <v>45.796669999999999</v>
      </c>
      <c r="E1711">
        <v>-108.47</v>
      </c>
      <c r="K1711">
        <v>0</v>
      </c>
      <c r="O1711" t="s">
        <v>51</v>
      </c>
      <c r="Q1711" t="s">
        <v>21</v>
      </c>
    </row>
    <row r="1712" spans="1:17" x14ac:dyDescent="0.25">
      <c r="A1712" t="s">
        <v>1562</v>
      </c>
      <c r="B1712" t="s">
        <v>1563</v>
      </c>
      <c r="C1712" t="s">
        <v>41</v>
      </c>
      <c r="D1712">
        <v>45.111939999999997</v>
      </c>
      <c r="E1712">
        <v>-110.79361</v>
      </c>
      <c r="K1712">
        <v>0</v>
      </c>
      <c r="O1712" t="s">
        <v>51</v>
      </c>
      <c r="Q1712" t="s">
        <v>21</v>
      </c>
    </row>
    <row r="1713" spans="1:17" x14ac:dyDescent="0.25">
      <c r="A1713" t="s">
        <v>1564</v>
      </c>
      <c r="B1713" t="s">
        <v>1565</v>
      </c>
      <c r="C1713" t="s">
        <v>41</v>
      </c>
      <c r="D1713">
        <v>46.266109999999998</v>
      </c>
      <c r="E1713">
        <v>-106.69</v>
      </c>
      <c r="K1713">
        <v>0</v>
      </c>
      <c r="O1713" t="s">
        <v>51</v>
      </c>
      <c r="Q1713" t="s">
        <v>21</v>
      </c>
    </row>
    <row r="1714" spans="1:17" x14ac:dyDescent="0.25">
      <c r="A1714" t="s">
        <v>1566</v>
      </c>
      <c r="B1714" t="s">
        <v>1567</v>
      </c>
      <c r="C1714" t="s">
        <v>41</v>
      </c>
      <c r="D1714">
        <v>47.1</v>
      </c>
      <c r="E1714">
        <v>-104.71666999999999</v>
      </c>
      <c r="K1714">
        <v>0</v>
      </c>
      <c r="O1714" t="s">
        <v>51</v>
      </c>
      <c r="Q1714" t="s">
        <v>21</v>
      </c>
    </row>
    <row r="1715" spans="1:17" x14ac:dyDescent="0.25">
      <c r="A1715" t="s">
        <v>936</v>
      </c>
      <c r="B1715" t="s">
        <v>937</v>
      </c>
      <c r="C1715" t="s">
        <v>41</v>
      </c>
      <c r="D1715">
        <v>46.421669999999999</v>
      </c>
      <c r="E1715">
        <v>-105.86056000000001</v>
      </c>
      <c r="K1715">
        <v>0</v>
      </c>
      <c r="O1715" t="s">
        <v>51</v>
      </c>
      <c r="Q1715" t="s">
        <v>21</v>
      </c>
    </row>
    <row r="1716" spans="1:17" x14ac:dyDescent="0.25">
      <c r="A1716" t="s">
        <v>1568</v>
      </c>
      <c r="B1716" t="s">
        <v>1569</v>
      </c>
      <c r="C1716" t="s">
        <v>41</v>
      </c>
      <c r="D1716">
        <v>45.59722</v>
      </c>
      <c r="E1716">
        <v>-110.56528</v>
      </c>
      <c r="K1716">
        <v>0</v>
      </c>
      <c r="O1716" t="s">
        <v>51</v>
      </c>
      <c r="Q1716" t="s">
        <v>21</v>
      </c>
    </row>
    <row r="1717" spans="1:17" x14ac:dyDescent="0.25">
      <c r="A1717" t="s">
        <v>1271</v>
      </c>
      <c r="B1717" t="s">
        <v>1272</v>
      </c>
      <c r="C1717" t="s">
        <v>41</v>
      </c>
      <c r="D1717">
        <v>47.678330000000003</v>
      </c>
      <c r="E1717">
        <v>-104.15611</v>
      </c>
      <c r="K1717">
        <v>0</v>
      </c>
      <c r="O1717" t="s">
        <v>51</v>
      </c>
      <c r="Q1717" t="s">
        <v>21</v>
      </c>
    </row>
    <row r="1718" spans="1:17" x14ac:dyDescent="0.25">
      <c r="A1718" t="s">
        <v>1560</v>
      </c>
      <c r="B1718" t="s">
        <v>1561</v>
      </c>
      <c r="C1718" t="s">
        <v>37</v>
      </c>
      <c r="D1718">
        <v>43.982219999999998</v>
      </c>
      <c r="E1718">
        <v>-109.86583</v>
      </c>
      <c r="F1718">
        <v>12156</v>
      </c>
      <c r="K1718">
        <v>0</v>
      </c>
      <c r="O1718" t="s">
        <v>57</v>
      </c>
      <c r="Q1718" t="s">
        <v>21</v>
      </c>
    </row>
    <row r="1719" spans="1:17" x14ac:dyDescent="0.25">
      <c r="A1719" t="s">
        <v>2259</v>
      </c>
      <c r="B1719" t="s">
        <v>2260</v>
      </c>
      <c r="C1719" t="s">
        <v>1987</v>
      </c>
      <c r="D1719">
        <v>32.75</v>
      </c>
      <c r="E1719">
        <v>-114.6</v>
      </c>
      <c r="G1719" t="s">
        <v>1576</v>
      </c>
      <c r="K1719">
        <v>0</v>
      </c>
      <c r="O1719" t="s">
        <v>20</v>
      </c>
      <c r="Q1719" t="s">
        <v>1988</v>
      </c>
    </row>
    <row r="1720" spans="1:17" x14ac:dyDescent="0.25">
      <c r="A1720" t="s">
        <v>2261</v>
      </c>
      <c r="B1720" t="s">
        <v>2262</v>
      </c>
      <c r="C1720" t="s">
        <v>1987</v>
      </c>
      <c r="D1720">
        <v>32.869999999999997</v>
      </c>
      <c r="E1720">
        <v>-114.48</v>
      </c>
      <c r="G1720" t="s">
        <v>1576</v>
      </c>
      <c r="K1720">
        <v>0</v>
      </c>
      <c r="O1720" t="s">
        <v>20</v>
      </c>
      <c r="Q1720" t="s">
        <v>1988</v>
      </c>
    </row>
    <row r="1721" spans="1:17" x14ac:dyDescent="0.25">
      <c r="A1721" t="s">
        <v>2263</v>
      </c>
      <c r="B1721" t="s">
        <v>2264</v>
      </c>
      <c r="C1721" t="s">
        <v>1987</v>
      </c>
      <c r="D1721">
        <v>32.880000000000003</v>
      </c>
      <c r="E1721">
        <v>-114.46</v>
      </c>
      <c r="G1721" t="s">
        <v>1576</v>
      </c>
      <c r="K1721">
        <v>0</v>
      </c>
      <c r="O1721" t="s">
        <v>20</v>
      </c>
      <c r="Q1721" t="s">
        <v>1988</v>
      </c>
    </row>
    <row r="1722" spans="1:17" x14ac:dyDescent="0.25">
      <c r="A1722" t="s">
        <v>2265</v>
      </c>
      <c r="B1722" t="s">
        <v>2266</v>
      </c>
      <c r="C1722" t="s">
        <v>1987</v>
      </c>
      <c r="D1722">
        <v>32.75</v>
      </c>
      <c r="E1722">
        <v>-114.5</v>
      </c>
      <c r="G1722" t="s">
        <v>1576</v>
      </c>
      <c r="K1722">
        <v>0</v>
      </c>
      <c r="O1722" t="s">
        <v>20</v>
      </c>
      <c r="Q1722" t="s">
        <v>1988</v>
      </c>
    </row>
    <row r="1723" spans="1:17" x14ac:dyDescent="0.25">
      <c r="A1723" t="s">
        <v>2267</v>
      </c>
      <c r="B1723" t="s">
        <v>2268</v>
      </c>
      <c r="C1723" t="s">
        <v>1987</v>
      </c>
      <c r="D1723">
        <v>32.880000000000003</v>
      </c>
      <c r="E1723">
        <v>-114.46</v>
      </c>
      <c r="G1723" t="s">
        <v>1576</v>
      </c>
      <c r="K1723">
        <v>0</v>
      </c>
      <c r="O1723" t="s">
        <v>20</v>
      </c>
      <c r="Q1723" t="s">
        <v>1988</v>
      </c>
    </row>
    <row r="1724" spans="1:17" x14ac:dyDescent="0.25">
      <c r="A1724" t="s">
        <v>2269</v>
      </c>
      <c r="B1724" t="s">
        <v>2270</v>
      </c>
      <c r="C1724" t="s">
        <v>1987</v>
      </c>
      <c r="D1724">
        <v>32.880000000000003</v>
      </c>
      <c r="E1724">
        <v>-114.46</v>
      </c>
      <c r="G1724" t="s">
        <v>1576</v>
      </c>
      <c r="K1724">
        <v>0</v>
      </c>
      <c r="O1724" t="s">
        <v>20</v>
      </c>
      <c r="Q1724" t="s">
        <v>1988</v>
      </c>
    </row>
    <row r="1725" spans="1:17" x14ac:dyDescent="0.25">
      <c r="A1725" t="s">
        <v>2271</v>
      </c>
      <c r="B1725" t="s">
        <v>2272</v>
      </c>
      <c r="C1725" t="s">
        <v>1643</v>
      </c>
      <c r="D1725">
        <v>32.729999999999997</v>
      </c>
      <c r="E1725">
        <v>-114.49</v>
      </c>
      <c r="G1725" t="s">
        <v>1589</v>
      </c>
      <c r="K1725">
        <v>0</v>
      </c>
      <c r="O1725" t="s">
        <v>20</v>
      </c>
      <c r="Q1725" t="s">
        <v>1988</v>
      </c>
    </row>
    <row r="1726" spans="1:17" x14ac:dyDescent="0.25">
      <c r="A1726" t="s">
        <v>2273</v>
      </c>
      <c r="B1726" t="s">
        <v>2274</v>
      </c>
      <c r="C1726" t="s">
        <v>1643</v>
      </c>
      <c r="D1726">
        <v>32.869999999999997</v>
      </c>
      <c r="E1726">
        <v>-114.48</v>
      </c>
      <c r="G1726" t="s">
        <v>1589</v>
      </c>
      <c r="K1726">
        <v>0</v>
      </c>
      <c r="O1726" t="s">
        <v>20</v>
      </c>
      <c r="Q1726" t="s">
        <v>1988</v>
      </c>
    </row>
    <row r="1727" spans="1:17" x14ac:dyDescent="0.25">
      <c r="A1727" t="s">
        <v>2275</v>
      </c>
      <c r="B1727" t="s">
        <v>2276</v>
      </c>
      <c r="C1727" t="s">
        <v>1643</v>
      </c>
      <c r="D1727">
        <v>32.869999999999997</v>
      </c>
      <c r="E1727">
        <v>-114.48</v>
      </c>
      <c r="G1727" t="s">
        <v>1589</v>
      </c>
      <c r="K1727">
        <v>0</v>
      </c>
      <c r="O1727" t="s">
        <v>20</v>
      </c>
      <c r="Q1727" t="s">
        <v>1988</v>
      </c>
    </row>
    <row r="1728" spans="1:17" x14ac:dyDescent="0.25">
      <c r="A1728" t="s">
        <v>2277</v>
      </c>
      <c r="B1728" t="s">
        <v>2278</v>
      </c>
      <c r="C1728" t="s">
        <v>1987</v>
      </c>
      <c r="D1728">
        <v>32.880000000000003</v>
      </c>
      <c r="E1728">
        <v>-114.46</v>
      </c>
      <c r="G1728" t="s">
        <v>1576</v>
      </c>
      <c r="K1728">
        <v>0</v>
      </c>
      <c r="O1728" t="s">
        <v>20</v>
      </c>
      <c r="Q1728" t="s">
        <v>1988</v>
      </c>
    </row>
    <row r="1729" spans="1:17" x14ac:dyDescent="0.25">
      <c r="A1729" t="s">
        <v>2279</v>
      </c>
      <c r="B1729" t="s">
        <v>2280</v>
      </c>
      <c r="C1729" t="s">
        <v>1987</v>
      </c>
      <c r="D1729">
        <v>32.880000000000003</v>
      </c>
      <c r="E1729">
        <v>-114.46</v>
      </c>
      <c r="G1729" t="s">
        <v>1576</v>
      </c>
      <c r="K1729">
        <v>0</v>
      </c>
      <c r="O1729" t="s">
        <v>20</v>
      </c>
      <c r="Q1729" t="s">
        <v>1988</v>
      </c>
    </row>
    <row r="1730" spans="1:17" x14ac:dyDescent="0.25">
      <c r="A1730" t="s">
        <v>3474</v>
      </c>
      <c r="B1730" t="s">
        <v>3475</v>
      </c>
      <c r="C1730" t="s">
        <v>1987</v>
      </c>
      <c r="D1730">
        <v>32.357300000000002</v>
      </c>
      <c r="E1730">
        <v>-114.4757</v>
      </c>
      <c r="G1730" t="s">
        <v>1576</v>
      </c>
      <c r="K1730">
        <v>0</v>
      </c>
      <c r="O1730" t="s">
        <v>34</v>
      </c>
      <c r="Q1730" t="s">
        <v>3441</v>
      </c>
    </row>
    <row r="1731" spans="1:17" x14ac:dyDescent="0.25">
      <c r="A1731" t="s">
        <v>1570</v>
      </c>
      <c r="B1731" t="s">
        <v>1571</v>
      </c>
      <c r="C1731" t="s">
        <v>19</v>
      </c>
      <c r="D1731">
        <v>40.799999999999997</v>
      </c>
      <c r="E1731">
        <v>-106.6</v>
      </c>
      <c r="F1731">
        <v>9340</v>
      </c>
      <c r="K1731">
        <v>0</v>
      </c>
      <c r="O1731" t="s">
        <v>57</v>
      </c>
      <c r="Q1731" t="s">
        <v>21</v>
      </c>
    </row>
    <row r="1732" spans="1:17" x14ac:dyDescent="0.25">
      <c r="A1732" t="s">
        <v>1572</v>
      </c>
      <c r="B1732" t="s">
        <v>1573</v>
      </c>
      <c r="C1732" t="s">
        <v>41</v>
      </c>
      <c r="D1732">
        <v>48.598889999999997</v>
      </c>
      <c r="E1732">
        <v>-109.16611</v>
      </c>
      <c r="K1732">
        <v>0</v>
      </c>
      <c r="O1732" t="s">
        <v>34</v>
      </c>
      <c r="Q1732" t="s">
        <v>21</v>
      </c>
    </row>
  </sheetData>
  <autoFilter ref="A1:Q1">
    <sortState ref="A2:Q1732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3"/>
  <sheetViews>
    <sheetView tabSelected="1" zoomScale="85" zoomScaleNormal="85" workbookViewId="0">
      <pane ySplit="9" topLeftCell="A10" activePane="bottomLeft" state="frozen"/>
      <selection pane="bottomLeft" activeCell="A2" sqref="A2"/>
    </sheetView>
  </sheetViews>
  <sheetFormatPr defaultRowHeight="33" customHeight="1" x14ac:dyDescent="0.25"/>
  <cols>
    <col min="1" max="1" width="8.42578125" style="13" customWidth="1"/>
    <col min="2" max="2" width="12.85546875" style="13" customWidth="1"/>
    <col min="3" max="3" width="21.7109375" style="13" customWidth="1"/>
    <col min="4" max="4" width="33.7109375" style="13" customWidth="1"/>
    <col min="5" max="5" width="40.28515625" style="13" customWidth="1"/>
    <col min="6" max="6" width="7.42578125" style="13" customWidth="1"/>
    <col min="7" max="7" width="24.5703125" style="13" customWidth="1"/>
    <col min="8" max="8" width="18.28515625" style="13" customWidth="1"/>
    <col min="9" max="11" width="16" style="13" customWidth="1"/>
    <col min="12" max="12" width="21" style="13" bestFit="1" customWidth="1"/>
    <col min="13" max="13" width="11.85546875" style="13" customWidth="1"/>
    <col min="14" max="14" width="9.140625" style="13"/>
    <col min="15" max="16384" width="9.140625" style="5"/>
  </cols>
  <sheetData>
    <row r="1" spans="1:14" s="7" customFormat="1" ht="18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7" customFormat="1" ht="18" customHeight="1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s="6" customFormat="1" ht="18" customHeight="1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</row>
    <row r="4" spans="1:14" s="7" customFormat="1" ht="18" customHeight="1" x14ac:dyDescent="0.25">
      <c r="A4" s="15" t="s">
        <v>3640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6" t="s">
        <v>3627</v>
      </c>
      <c r="M4" s="17" t="s">
        <v>3628</v>
      </c>
      <c r="N4" s="16"/>
    </row>
    <row r="5" spans="1:14" s="7" customFormat="1" ht="18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8" t="s">
        <v>3629</v>
      </c>
      <c r="N5" s="15"/>
    </row>
    <row r="6" spans="1:14" s="7" customFormat="1" ht="18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9" t="s">
        <v>3639</v>
      </c>
      <c r="N6" s="15"/>
    </row>
    <row r="7" spans="1:14" s="7" customFormat="1" ht="18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s="6" customFormat="1" ht="18" customHeight="1" x14ac:dyDescent="0.25">
      <c r="A8" s="20" t="s">
        <v>3637</v>
      </c>
      <c r="B8" s="20"/>
      <c r="C8" s="20"/>
      <c r="D8" s="20"/>
      <c r="E8" s="20"/>
      <c r="F8" s="20"/>
      <c r="G8" s="20"/>
      <c r="H8" s="20"/>
      <c r="I8" s="20" t="s">
        <v>3638</v>
      </c>
      <c r="J8" s="20"/>
      <c r="K8" s="20"/>
      <c r="L8" s="20"/>
      <c r="M8" s="20" t="s">
        <v>3636</v>
      </c>
      <c r="N8" s="20"/>
    </row>
    <row r="9" spans="1:14" s="12" customFormat="1" ht="18" customHeight="1" x14ac:dyDescent="0.25">
      <c r="A9" s="9" t="s">
        <v>3619</v>
      </c>
      <c r="B9" s="9" t="s">
        <v>3620</v>
      </c>
      <c r="C9" s="10" t="s">
        <v>3621</v>
      </c>
      <c r="D9" s="9" t="s">
        <v>3622</v>
      </c>
      <c r="E9" s="11" t="s">
        <v>3626</v>
      </c>
      <c r="F9" s="11" t="s">
        <v>3623</v>
      </c>
      <c r="G9" s="11" t="s">
        <v>3624</v>
      </c>
      <c r="H9" s="11" t="s">
        <v>3625</v>
      </c>
      <c r="I9" s="10" t="s">
        <v>3630</v>
      </c>
      <c r="J9" s="10" t="s">
        <v>3631</v>
      </c>
      <c r="K9" s="10" t="s">
        <v>3632</v>
      </c>
      <c r="L9" s="11" t="s">
        <v>3633</v>
      </c>
      <c r="M9" s="10" t="s">
        <v>3634</v>
      </c>
      <c r="N9" s="10" t="s">
        <v>3635</v>
      </c>
    </row>
    <row r="10" spans="1:14" s="4" customFormat="1" ht="33" customHeight="1" x14ac:dyDescent="0.25">
      <c r="A10" s="13" t="s">
        <v>1988</v>
      </c>
      <c r="B10" s="13" t="s">
        <v>3532</v>
      </c>
      <c r="C10" s="13" t="s">
        <v>2205</v>
      </c>
      <c r="D10" s="13" t="s">
        <v>3588</v>
      </c>
      <c r="E10" s="13" t="str">
        <f>INDEX(SiteInventory!$O$2:$O$1732,MATCH(BatchUploadBuilder!C10,SiteInventory!$A$2:$A$1732,0)) &amp; " - " &amp; INDEX(SiteInventory!$B$2:$B$1732,MATCH(BatchUploadBuilder!C10,SiteInventory!$A$2:$A$1732,0))</f>
        <v>reservoir - Lake Havasu</v>
      </c>
      <c r="F10" s="13" t="str">
        <f>INDEX(SiteInventory!$C$2:$C$1732,MATCH(BatchUploadBuilder!C10,SiteInventory!$A$2:$A$1732,0))</f>
        <v>AZ</v>
      </c>
      <c r="G10" s="13" t="str">
        <f>INDEX(parametercatalog!$D$2:$D$44,MATCH(BatchUploadBuilder!D10,parametercatalog!$A$2:$A$44,0)) &amp; " - " &amp; INDEX(parametercatalog!$E$2:$E$44,MATCH(BatchUploadBuilder!D10,parametercatalog!$A$2:$A$44,0))</f>
        <v>Avg - Reservoir Release - Powerplant</v>
      </c>
      <c r="H10" s="13" t="str">
        <f>INDEX(parametercatalog!$C$2:$C$44,MATCH(BatchUploadBuilder!D10,parametercatalog!$A$2:$A$44,0))</f>
        <v>cfs</v>
      </c>
      <c r="I10" s="13"/>
      <c r="J10" s="13"/>
      <c r="K10" s="4">
        <v>2146</v>
      </c>
      <c r="L10" s="13" t="str">
        <f>IF(OR(A10="PN",A10="GP"),"Hydromet"&amp;IF(B10="Day","Daily","Monthly")&amp;"Series",IF(A10="MP","SFTPSeries","HDBSeries"))</f>
        <v>HDBSeries</v>
      </c>
      <c r="M10" s="14">
        <v>42370</v>
      </c>
      <c r="N10" s="14">
        <v>42552</v>
      </c>
    </row>
    <row r="11" spans="1:14" ht="33" customHeight="1" x14ac:dyDescent="0.25">
      <c r="A11" s="13" t="s">
        <v>1988</v>
      </c>
      <c r="B11" s="13" t="s">
        <v>3532</v>
      </c>
      <c r="C11" s="13" t="s">
        <v>2063</v>
      </c>
      <c r="D11" s="13" t="s">
        <v>3588</v>
      </c>
      <c r="E11" s="13" t="str">
        <f>INDEX(SiteInventory!$O$2:$O$1732,MATCH(BatchUploadBuilder!C11,SiteInventory!$A$2:$A$1732,0)) &amp; " - " &amp; INDEX(SiteInventory!$B$2:$B$1732,MATCH(BatchUploadBuilder!C11,SiteInventory!$A$2:$A$1732,0))</f>
        <v>reservoir - Lake Mohave</v>
      </c>
      <c r="F11" s="13" t="str">
        <f>INDEX(SiteInventory!$C$2:$C$1732,MATCH(BatchUploadBuilder!C11,SiteInventory!$A$2:$A$1732,0))</f>
        <v>AZ</v>
      </c>
      <c r="G11" s="13" t="str">
        <f>INDEX(parametercatalog!$D$2:$D$44,MATCH(BatchUploadBuilder!D11,parametercatalog!$A$2:$A$44,0)) &amp; " - " &amp; INDEX(parametercatalog!$E$2:$E$44,MATCH(BatchUploadBuilder!D11,parametercatalog!$A$2:$A$44,0))</f>
        <v>Avg - Reservoir Release - Powerplant</v>
      </c>
      <c r="H11" s="13" t="str">
        <f>INDEX(parametercatalog!$C$2:$C$44,MATCH(BatchUploadBuilder!D11,parametercatalog!$A$2:$A$44,0))</f>
        <v>cfs</v>
      </c>
      <c r="K11" s="4">
        <v>2166</v>
      </c>
      <c r="L11" s="13" t="str">
        <f>IF(OR(A11="PN",A11="GP"),"Hydromet"&amp;IF(B11="Day","Daily","Monthly")&amp;"Series",IF(A11="MP","SFTPSeries","HDBSeries"))</f>
        <v>HDBSeries</v>
      </c>
      <c r="M11" s="14">
        <v>42370</v>
      </c>
      <c r="N11" s="14">
        <v>42552</v>
      </c>
    </row>
    <row r="13" spans="1:14" ht="33" customHeight="1" x14ac:dyDescent="0.25">
      <c r="I13" s="13" t="s">
        <v>3641</v>
      </c>
    </row>
  </sheetData>
  <mergeCells count="3">
    <mergeCell ref="I8:L8"/>
    <mergeCell ref="M8:N8"/>
    <mergeCell ref="A8:H8"/>
  </mergeCells>
  <conditionalFormatting sqref="I10:J1048576">
    <cfRule type="expression" dxfId="1" priority="2">
      <formula>IF(OR($A10="LC",$A10="UC"),TRUE,FALSE)</formula>
    </cfRule>
  </conditionalFormatting>
  <conditionalFormatting sqref="K10:K1048576">
    <cfRule type="expression" dxfId="0" priority="1">
      <formula>IF(OR($A10="PN",$A10="GP",$A10="MP"),TRUE,FALSE)</formula>
    </cfRule>
  </conditionalFormatting>
  <dataValidations count="2">
    <dataValidation type="list" allowBlank="1" showInputMessage="1" showErrorMessage="1" sqref="B9:B1048576">
      <formula1>"Day,Month"</formula1>
    </dataValidation>
    <dataValidation type="list" allowBlank="1" showInputMessage="1" showErrorMessage="1" sqref="A9:A1048576">
      <formula1>"PN,GP,LC,UC,MP"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Sheet2.SaveWorksheetAsCsv">
                <anchor moveWithCells="1" sizeWithCells="1">
                  <from>
                    <xdr:col>9</xdr:col>
                    <xdr:colOff>66675</xdr:colOff>
                    <xdr:row>2</xdr:row>
                    <xdr:rowOff>209550</xdr:rowOff>
                  </from>
                  <to>
                    <xdr:col>10</xdr:col>
                    <xdr:colOff>914400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parametercatalog!$A4:$A46</xm:f>
          </x14:formula1>
          <xm:sqref>D9:D1048576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parametercatalog</vt:lpstr>
      <vt:lpstr>SiteInventory</vt:lpstr>
      <vt:lpstr>BatchUploadBuilder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Rocha, Jonathan T</dc:creator>
  <cp:lastModifiedBy>jrocha</cp:lastModifiedBy>
  <dcterms:created xsi:type="dcterms:W3CDTF">2006-09-16T00:00:00Z</dcterms:created>
  <dcterms:modified xsi:type="dcterms:W3CDTF">2016-07-19T17:45:37Z</dcterms:modified>
</cp:coreProperties>
</file>